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1. Chart Customization\"/>
    </mc:Choice>
  </mc:AlternateContent>
  <xr:revisionPtr revIDLastSave="0" documentId="13_ncr:1_{5DF862CD-2FB7-414A-B05E-51F23CA819BE}" xr6:coauthVersionLast="47" xr6:coauthVersionMax="47" xr10:uidLastSave="{00000000-0000-0000-0000-000000000000}"/>
  <bookViews>
    <workbookView xWindow="-110" yWindow="-110" windowWidth="19420" windowHeight="10420" firstSheet="1" activeTab="2" xr2:uid="{95B62CC9-56ED-458B-BCF6-23CF993B19D3}"/>
  </bookViews>
  <sheets>
    <sheet name="ChartsDataSheet" sheetId="10" state="veryHidden" r:id="rId1"/>
    <sheet name="Sheet3" sheetId="11" r:id="rId2"/>
    <sheet name="Sheet5" sheetId="1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3" l="1"/>
  <c r="L4" i="13"/>
  <c r="L3" i="13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" i="11"/>
  <c r="V3" i="10"/>
  <c r="T3" i="10"/>
  <c r="H3" i="10"/>
  <c r="D3" i="10"/>
  <c r="BF3" i="10" s="1"/>
  <c r="C3" i="10"/>
  <c r="BG3" i="10" s="1"/>
  <c r="B3" i="10"/>
  <c r="V2" i="10"/>
  <c r="T2" i="10"/>
  <c r="H2" i="10"/>
  <c r="D2" i="10"/>
  <c r="BF2" i="10" s="1"/>
  <c r="C2" i="10"/>
  <c r="BG2" i="10" s="1"/>
  <c r="B2" i="10"/>
  <c r="S2" i="10"/>
  <c r="S3" i="10"/>
  <c r="E3" i="10" l="1"/>
  <c r="BE3" i="10" s="1"/>
  <c r="E2" i="10"/>
  <c r="BE2" i="10" s="1"/>
</calcChain>
</file>

<file path=xl/sharedStrings.xml><?xml version="1.0" encoding="utf-8"?>
<sst xmlns="http://schemas.openxmlformats.org/spreadsheetml/2006/main" count="267" uniqueCount="168">
  <si>
    <t>Product 1</t>
  </si>
  <si>
    <t>Product 2</t>
  </si>
  <si>
    <t>Product 3</t>
  </si>
  <si>
    <t>Product 4</t>
  </si>
  <si>
    <t>Year</t>
  </si>
  <si>
    <t xml:space="preserve">Product </t>
  </si>
  <si>
    <t>Acme Corp</t>
  </si>
  <si>
    <t>Umbrella Corp</t>
  </si>
  <si>
    <t>Sum of Umbrella Corp</t>
  </si>
  <si>
    <t>Sum of Acme Corp</t>
  </si>
  <si>
    <t>Values</t>
  </si>
  <si>
    <t>Gauge Chart Name:</t>
  </si>
  <si>
    <t>AV</t>
  </si>
  <si>
    <t>min</t>
  </si>
  <si>
    <t>max</t>
  </si>
  <si>
    <t>diff</t>
  </si>
  <si>
    <t>Format</t>
  </si>
  <si>
    <t>Decimals</t>
  </si>
  <si>
    <t>Labels size</t>
  </si>
  <si>
    <t>AV size</t>
  </si>
  <si>
    <t>ref 2E</t>
  </si>
  <si>
    <t>ref 1E</t>
  </si>
  <si>
    <t>color 1</t>
  </si>
  <si>
    <t>color 2</t>
  </si>
  <si>
    <t>color 3</t>
  </si>
  <si>
    <t>Skin</t>
  </si>
  <si>
    <t>Sheet Name</t>
  </si>
  <si>
    <t>Sheet Index</t>
  </si>
  <si>
    <t>Attached</t>
  </si>
  <si>
    <t>Reference</t>
  </si>
  <si>
    <t>color AV</t>
  </si>
  <si>
    <t>Description</t>
  </si>
  <si>
    <t>Size</t>
  </si>
  <si>
    <t>PV</t>
  </si>
  <si>
    <t>TextBoxDiff</t>
  </si>
  <si>
    <t>color PV</t>
  </si>
  <si>
    <t>ref 4S</t>
  </si>
  <si>
    <t>ref 4E</t>
  </si>
  <si>
    <t>ref 5E</t>
  </si>
  <si>
    <t>ref 6E</t>
  </si>
  <si>
    <t>ref 7E</t>
  </si>
  <si>
    <t>ref 8E</t>
  </si>
  <si>
    <t>ref 9E</t>
  </si>
  <si>
    <t>ref 10E</t>
  </si>
  <si>
    <t>ref 11E</t>
  </si>
  <si>
    <t>ref 12E</t>
  </si>
  <si>
    <t>color 4</t>
  </si>
  <si>
    <t>color 5</t>
  </si>
  <si>
    <t>color 6</t>
  </si>
  <si>
    <t>color 7</t>
  </si>
  <si>
    <t>color 8</t>
  </si>
  <si>
    <t>color 9</t>
  </si>
  <si>
    <t>color 10</t>
  </si>
  <si>
    <t>color 11</t>
  </si>
  <si>
    <t>color 12</t>
  </si>
  <si>
    <t>Zones Count</t>
  </si>
  <si>
    <t>Hform</t>
  </si>
  <si>
    <t>Reverse?</t>
  </si>
  <si>
    <t>color LB</t>
  </si>
  <si>
    <t>color A</t>
  </si>
  <si>
    <t>color D</t>
  </si>
  <si>
    <t>Variance Chart Name:</t>
  </si>
  <si>
    <t>Data 1</t>
  </si>
  <si>
    <t>Data 2</t>
  </si>
  <si>
    <t>Diff</t>
  </si>
  <si>
    <t>Series 1</t>
  </si>
  <si>
    <t>Series 2</t>
  </si>
  <si>
    <t>Sales Funnel Chart Name:</t>
  </si>
  <si>
    <t>TL Chart Name:</t>
  </si>
  <si>
    <t>Green</t>
  </si>
  <si>
    <t>Yellow</t>
  </si>
  <si>
    <t>AV Val.</t>
  </si>
  <si>
    <t>Size 1</t>
  </si>
  <si>
    <t>Size 2</t>
  </si>
  <si>
    <t>Size 3</t>
  </si>
  <si>
    <t>ForeColor</t>
  </si>
  <si>
    <t>Border</t>
  </si>
  <si>
    <t>Off Light</t>
  </si>
  <si>
    <t>Text</t>
  </si>
  <si>
    <t>Color 1</t>
  </si>
  <si>
    <t>Color 2</t>
  </si>
  <si>
    <t>Color 3</t>
  </si>
  <si>
    <t>Model</t>
  </si>
  <si>
    <t>Minim</t>
  </si>
  <si>
    <t>Maxim</t>
  </si>
  <si>
    <t>VarianceActualHorizontal:</t>
  </si>
  <si>
    <t>WaterFallChart Name:</t>
  </si>
  <si>
    <t>Labels</t>
  </si>
  <si>
    <t>Cumulative</t>
  </si>
  <si>
    <t>Start - End</t>
  </si>
  <si>
    <t>Before</t>
  </si>
  <si>
    <t>After</t>
  </si>
  <si>
    <t>Data label position</t>
  </si>
  <si>
    <t>MekkoChart Name:</t>
  </si>
  <si>
    <t>OrgChart Name:</t>
  </si>
  <si>
    <t>RadialBarChart Name:</t>
  </si>
  <si>
    <t>MaxValue</t>
  </si>
  <si>
    <t>Value 1</t>
  </si>
  <si>
    <t>Desc 1</t>
  </si>
  <si>
    <t>v 1</t>
  </si>
  <si>
    <t>i 1</t>
  </si>
  <si>
    <t>Value 2</t>
  </si>
  <si>
    <t>Desc 2</t>
  </si>
  <si>
    <t>v 2</t>
  </si>
  <si>
    <t>i 2</t>
  </si>
  <si>
    <t>Value 3</t>
  </si>
  <si>
    <t>Desc 3</t>
  </si>
  <si>
    <t>v 3</t>
  </si>
  <si>
    <t>i 3</t>
  </si>
  <si>
    <t>Value 4</t>
  </si>
  <si>
    <t>Desc 4</t>
  </si>
  <si>
    <t>v 4</t>
  </si>
  <si>
    <t>i 4</t>
  </si>
  <si>
    <t>Value 5</t>
  </si>
  <si>
    <t>Desc 5</t>
  </si>
  <si>
    <t>v 5</t>
  </si>
  <si>
    <t>i 5</t>
  </si>
  <si>
    <t>Value 6</t>
  </si>
  <si>
    <t>Desc 6</t>
  </si>
  <si>
    <t>v 6</t>
  </si>
  <si>
    <t>i 6</t>
  </si>
  <si>
    <t>Value 7</t>
  </si>
  <si>
    <t>Desc 7</t>
  </si>
  <si>
    <t>v 7</t>
  </si>
  <si>
    <t>i 7</t>
  </si>
  <si>
    <t>Value 8</t>
  </si>
  <si>
    <t>Desc 8</t>
  </si>
  <si>
    <t>v 8</t>
  </si>
  <si>
    <t>i 8</t>
  </si>
  <si>
    <t>Value 9</t>
  </si>
  <si>
    <t>Desc 9</t>
  </si>
  <si>
    <t>v 9</t>
  </si>
  <si>
    <t>i 9</t>
  </si>
  <si>
    <t>Value 10</t>
  </si>
  <si>
    <t>Desc 10</t>
  </si>
  <si>
    <t>v 10</t>
  </si>
  <si>
    <t>i 10</t>
  </si>
  <si>
    <t>Sales Funnel2 Chart Name:</t>
  </si>
  <si>
    <t>Colors</t>
  </si>
  <si>
    <t>DataText</t>
  </si>
  <si>
    <t>DataValue</t>
  </si>
  <si>
    <t>x</t>
  </si>
  <si>
    <t>Label</t>
  </si>
  <si>
    <t>Value</t>
  </si>
  <si>
    <t>Low</t>
  </si>
  <si>
    <t>High</t>
  </si>
  <si>
    <t>x2</t>
  </si>
  <si>
    <t>yLabel</t>
  </si>
  <si>
    <t>yPercent</t>
  </si>
  <si>
    <t>LabelPercent</t>
  </si>
  <si>
    <t>xxx</t>
  </si>
  <si>
    <t>Ring Chart Name:</t>
  </si>
  <si>
    <t>WindRoseChart Name:</t>
  </si>
  <si>
    <t>Cat 1</t>
  </si>
  <si>
    <t>Cat 2</t>
  </si>
  <si>
    <t>Cat 3</t>
  </si>
  <si>
    <t>Cat 4</t>
  </si>
  <si>
    <t>Cat 5</t>
  </si>
  <si>
    <t>Cat 6</t>
  </si>
  <si>
    <t>G1_00000</t>
  </si>
  <si>
    <t>Num</t>
  </si>
  <si>
    <t>Skin 1</t>
  </si>
  <si>
    <t>G1_3433434</t>
  </si>
  <si>
    <t>Skin 5</t>
  </si>
  <si>
    <t>divider</t>
  </si>
  <si>
    <t>x-axis</t>
  </si>
  <si>
    <t>y-axis</t>
  </si>
  <si>
    <t>dividders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</si>
</sst>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4"/>
      </left>
      <right/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1"/>
      </bottom>
      <diagonal/>
    </border>
    <border>
      <left/>
      <right style="thin">
        <color theme="4"/>
      </right>
      <top/>
      <bottom style="thin">
        <color theme="1"/>
      </bottom>
      <diagonal/>
    </border>
    <border>
      <left style="thin">
        <color theme="4"/>
      </left>
      <right/>
      <top style="thin">
        <color theme="1"/>
      </top>
      <bottom/>
      <diagonal/>
    </border>
    <border>
      <left/>
      <right style="thin">
        <color theme="4"/>
      </right>
      <top style="thin">
        <color theme="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pivotButton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2" fillId="2" borderId="10" xfId="0" applyFont="1" applyFill="1" applyBorder="1"/>
    <xf numFmtId="0" fontId="2" fillId="2" borderId="3" xfId="0" applyFont="1" applyFill="1" applyBorder="1"/>
    <xf numFmtId="0" fontId="2" fillId="2" borderId="11" xfId="0" applyFont="1" applyFill="1" applyBorder="1"/>
    <xf numFmtId="0" fontId="0" fillId="0" borderId="10" xfId="0" applyBorder="1"/>
    <xf numFmtId="0" fontId="0" fillId="0" borderId="3" xfId="0" applyBorder="1"/>
    <xf numFmtId="0" fontId="0" fillId="0" borderId="11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1" fillId="8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9" borderId="12" xfId="0" applyFont="1" applyFill="1" applyBorder="1"/>
    <xf numFmtId="0" fontId="1" fillId="0" borderId="12" xfId="0" applyFont="1" applyBorder="1"/>
    <xf numFmtId="0" fontId="2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Cycle</a:t>
            </a:r>
            <a:r>
              <a:rPr lang="en-US" b="1" baseline="0"/>
              <a:t> Plot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Sheet5!$C$1</c:f>
              <c:strCache>
                <c:ptCount val="1"/>
                <c:pt idx="0">
                  <c:v>Umbrella Corp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Sheet5!$A$2:$B$21</c:f>
              <c:multiLvlStrCache>
                <c:ptCount val="20"/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2017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2017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2017</c:v>
                  </c:pt>
                  <c:pt idx="16">
                    <c:v>2018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</c:lvl>
                <c:lvl>
                  <c:pt idx="0">
                    <c:v>Product 1</c:v>
                  </c:pt>
                  <c:pt idx="5">
                    <c:v>Product 2</c:v>
                  </c:pt>
                  <c:pt idx="10">
                    <c:v>Product 3</c:v>
                  </c:pt>
                  <c:pt idx="15">
                    <c:v>Product 4</c:v>
                  </c:pt>
                </c:lvl>
              </c:multiLvlStrCache>
            </c:multiLvlStrRef>
          </c:cat>
          <c:val>
            <c:numRef>
              <c:f>Sheet5!$C$2:$C$21</c:f>
              <c:numCache>
                <c:formatCode>General</c:formatCode>
                <c:ptCount val="20"/>
                <c:pt idx="0">
                  <c:v>1560</c:v>
                </c:pt>
                <c:pt idx="1">
                  <c:v>2741</c:v>
                </c:pt>
                <c:pt idx="2">
                  <c:v>3041</c:v>
                </c:pt>
                <c:pt idx="3">
                  <c:v>3115</c:v>
                </c:pt>
                <c:pt idx="4">
                  <c:v>3100</c:v>
                </c:pt>
                <c:pt idx="10">
                  <c:v>2835</c:v>
                </c:pt>
                <c:pt idx="11">
                  <c:v>2698</c:v>
                </c:pt>
                <c:pt idx="12">
                  <c:v>1823</c:v>
                </c:pt>
                <c:pt idx="13">
                  <c:v>1777</c:v>
                </c:pt>
                <c:pt idx="14">
                  <c:v>1895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CF-49F7-90D4-C2009D05B9F3}"/>
            </c:ext>
          </c:extLst>
        </c:ser>
        <c:ser>
          <c:idx val="1"/>
          <c:order val="1"/>
          <c:tx>
            <c:strRef>
              <c:f>Sheet5!$D$1</c:f>
              <c:strCache>
                <c:ptCount val="1"/>
                <c:pt idx="0">
                  <c:v>Acme Corp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Sheet5!$A$2:$B$21</c:f>
              <c:multiLvlStrCache>
                <c:ptCount val="20"/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2017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2017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2017</c:v>
                  </c:pt>
                  <c:pt idx="16">
                    <c:v>2018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</c:lvl>
                <c:lvl>
                  <c:pt idx="0">
                    <c:v>Product 1</c:v>
                  </c:pt>
                  <c:pt idx="5">
                    <c:v>Product 2</c:v>
                  </c:pt>
                  <c:pt idx="10">
                    <c:v>Product 3</c:v>
                  </c:pt>
                  <c:pt idx="15">
                    <c:v>Product 4</c:v>
                  </c:pt>
                </c:lvl>
              </c:multiLvlStrCache>
            </c:multiLvlStrRef>
          </c:cat>
          <c:val>
            <c:numRef>
              <c:f>Sheet5!$D$2:$D$21</c:f>
              <c:numCache>
                <c:formatCode>General</c:formatCode>
                <c:ptCount val="20"/>
                <c:pt idx="0">
                  <c:v>1902</c:v>
                </c:pt>
                <c:pt idx="1">
                  <c:v>3129</c:v>
                </c:pt>
                <c:pt idx="2">
                  <c:v>2630</c:v>
                </c:pt>
                <c:pt idx="3">
                  <c:v>1718</c:v>
                </c:pt>
                <c:pt idx="4">
                  <c:v>2681</c:v>
                </c:pt>
                <c:pt idx="10">
                  <c:v>2233</c:v>
                </c:pt>
                <c:pt idx="11">
                  <c:v>1518</c:v>
                </c:pt>
                <c:pt idx="12">
                  <c:v>2610</c:v>
                </c:pt>
                <c:pt idx="13">
                  <c:v>1997</c:v>
                </c:pt>
                <c:pt idx="14">
                  <c:v>2041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CF-49F7-90D4-C2009D05B9F3}"/>
            </c:ext>
          </c:extLst>
        </c:ser>
        <c:ser>
          <c:idx val="2"/>
          <c:order val="2"/>
          <c:tx>
            <c:strRef>
              <c:f>Sheet5!$E$1</c:f>
              <c:strCache>
                <c:ptCount val="1"/>
                <c:pt idx="0">
                  <c:v>Umbrella Corp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Sheet5!$A$2:$B$21</c:f>
              <c:multiLvlStrCache>
                <c:ptCount val="20"/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2017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2017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2017</c:v>
                  </c:pt>
                  <c:pt idx="16">
                    <c:v>2018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</c:lvl>
                <c:lvl>
                  <c:pt idx="0">
                    <c:v>Product 1</c:v>
                  </c:pt>
                  <c:pt idx="5">
                    <c:v>Product 2</c:v>
                  </c:pt>
                  <c:pt idx="10">
                    <c:v>Product 3</c:v>
                  </c:pt>
                  <c:pt idx="15">
                    <c:v>Product 4</c:v>
                  </c:pt>
                </c:lvl>
              </c:multiLvlStrCache>
            </c:multiLvlStrRef>
          </c:cat>
          <c:val>
            <c:numRef>
              <c:f>Sheet5!$E$2:$E$21</c:f>
              <c:numCache>
                <c:formatCode>General</c:formatCode>
                <c:ptCount val="20"/>
                <c:pt idx="5">
                  <c:v>2389</c:v>
                </c:pt>
                <c:pt idx="6">
                  <c:v>2662</c:v>
                </c:pt>
                <c:pt idx="7">
                  <c:v>2810</c:v>
                </c:pt>
                <c:pt idx="8">
                  <c:v>1843</c:v>
                </c:pt>
                <c:pt idx="9">
                  <c:v>3237</c:v>
                </c:pt>
                <c:pt idx="15">
                  <c:v>2592</c:v>
                </c:pt>
                <c:pt idx="16">
                  <c:v>2410</c:v>
                </c:pt>
                <c:pt idx="17">
                  <c:v>3116</c:v>
                </c:pt>
                <c:pt idx="18">
                  <c:v>2428</c:v>
                </c:pt>
                <c:pt idx="19">
                  <c:v>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CF-49F7-90D4-C2009D05B9F3}"/>
            </c:ext>
          </c:extLst>
        </c:ser>
        <c:ser>
          <c:idx val="3"/>
          <c:order val="3"/>
          <c:tx>
            <c:strRef>
              <c:f>Sheet5!$F$1</c:f>
              <c:strCache>
                <c:ptCount val="1"/>
                <c:pt idx="0">
                  <c:v>Acme Corp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Sheet5!$A$2:$B$21</c:f>
              <c:multiLvlStrCache>
                <c:ptCount val="20"/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2017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2017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2017</c:v>
                  </c:pt>
                  <c:pt idx="16">
                    <c:v>2018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</c:lvl>
                <c:lvl>
                  <c:pt idx="0">
                    <c:v>Product 1</c:v>
                  </c:pt>
                  <c:pt idx="5">
                    <c:v>Product 2</c:v>
                  </c:pt>
                  <c:pt idx="10">
                    <c:v>Product 3</c:v>
                  </c:pt>
                  <c:pt idx="15">
                    <c:v>Product 4</c:v>
                  </c:pt>
                </c:lvl>
              </c:multiLvlStrCache>
            </c:multiLvlStrRef>
          </c:cat>
          <c:val>
            <c:numRef>
              <c:f>Sheet5!$F$2:$F$21</c:f>
              <c:numCache>
                <c:formatCode>General</c:formatCode>
                <c:ptCount val="20"/>
                <c:pt idx="5">
                  <c:v>2158</c:v>
                </c:pt>
                <c:pt idx="6">
                  <c:v>2070</c:v>
                </c:pt>
                <c:pt idx="7">
                  <c:v>3004</c:v>
                </c:pt>
                <c:pt idx="8">
                  <c:v>1669</c:v>
                </c:pt>
                <c:pt idx="9">
                  <c:v>1746</c:v>
                </c:pt>
                <c:pt idx="15">
                  <c:v>2129</c:v>
                </c:pt>
                <c:pt idx="16">
                  <c:v>2419</c:v>
                </c:pt>
                <c:pt idx="17">
                  <c:v>2727</c:v>
                </c:pt>
                <c:pt idx="18">
                  <c:v>1930</c:v>
                </c:pt>
                <c:pt idx="19">
                  <c:v>2040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CF-49F7-90D4-C2009D05B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523856"/>
        <c:axId val="513525520"/>
      </c:lineChart>
      <c:scatterChart>
        <c:scatterStyle val="lineMarker"/>
        <c:varyColors val="0"/>
        <c:ser>
          <c:idx val="4"/>
          <c:order val="4"/>
          <c:tx>
            <c:strRef>
              <c:f>Sheet5!$M$2</c:f>
              <c:strCache>
                <c:ptCount val="1"/>
                <c:pt idx="0">
                  <c:v>dividders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lus"/>
            <c:size val="2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plus"/>
            <c:errValType val="fixedVal"/>
            <c:noEndCap val="1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plus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Sheet5!$L$3:$L$5</c:f>
              <c:numCache>
                <c:formatCode>0.00</c:formatCode>
                <c:ptCount val="3"/>
                <c:pt idx="0">
                  <c:v>5.5</c:v>
                </c:pt>
                <c:pt idx="1">
                  <c:v>10.5</c:v>
                </c:pt>
                <c:pt idx="2">
                  <c:v>15.5</c:v>
                </c:pt>
              </c:numCache>
            </c:numRef>
          </c:xVal>
          <c:yVal>
            <c:numRef>
              <c:f>Sheet5!$M$3:$M$5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DCF-49F7-90D4-C2009D05B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667088"/>
        <c:axId val="465666672"/>
      </c:scatterChart>
      <c:catAx>
        <c:axId val="51352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525520"/>
        <c:crosses val="autoZero"/>
        <c:auto val="1"/>
        <c:lblAlgn val="ctr"/>
        <c:lblOffset val="100"/>
        <c:noMultiLvlLbl val="0"/>
      </c:catAx>
      <c:valAx>
        <c:axId val="513525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523856"/>
        <c:crosses val="autoZero"/>
        <c:crossBetween val="between"/>
      </c:valAx>
      <c:valAx>
        <c:axId val="46566667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667088"/>
        <c:crosses val="max"/>
        <c:crossBetween val="midCat"/>
      </c:valAx>
      <c:valAx>
        <c:axId val="46566708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465666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358775</xdr:colOff>
      <xdr:row>3</xdr:row>
      <xdr:rowOff>60325</xdr:rowOff>
    </xdr:from>
    <xdr:to>
      <xdr:col>10</xdr:col>
      <xdr:colOff>200025</xdr:colOff>
      <xdr:row>18</xdr:row>
      <xdr:rowOff>41275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702C72-880F-6C89-69BB-40DFFCB70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bad" refreshedDate="44949.026659606483" createdVersion="8" refreshedVersion="8" minRefreshableVersion="3" recordCount="20" xr:uid="{D7387479-FE1B-4153-8FB2-013C8EDF4DD9}">
  <cacheSource type="worksheet">
    <worksheetSource ref="A1:E21" sheet="Sheet3"/>
  </cacheSource>
  <cacheFields count="5">
    <cacheField name="Product " numFmtId="0">
      <sharedItems count="4">
        <s v="Product 1"/>
        <s v="Product 2"/>
        <s v="Product 3"/>
        <s v="Product 4"/>
      </sharedItems>
    </cacheField>
    <cacheField name="Year" numFmtId="0">
      <sharedItems containsSemiMixedTypes="0" containsString="0" containsNumber="1" containsInteger="1" minValue="2017" maxValue="2021" count="5">
        <n v="2017"/>
        <n v="2018"/>
        <n v="2019"/>
        <n v="2020"/>
        <n v="2021"/>
      </sharedItems>
    </cacheField>
    <cacheField name="Acme Corp" numFmtId="0">
      <sharedItems containsSemiMixedTypes="0" containsString="0" containsNumber="1" containsInteger="1" minValue="1518" maxValue="3129" count="20">
        <n v="1902"/>
        <n v="3129"/>
        <n v="2630"/>
        <n v="1718"/>
        <n v="2681"/>
        <n v="2158"/>
        <n v="2070"/>
        <n v="3004"/>
        <n v="1669"/>
        <n v="1746"/>
        <n v="2233"/>
        <n v="1518"/>
        <n v="2610"/>
        <n v="1997"/>
        <n v="2041"/>
        <n v="2129"/>
        <n v="2419"/>
        <n v="2727"/>
        <n v="1930"/>
        <n v="2040"/>
      </sharedItems>
    </cacheField>
    <cacheField name="Umbrella Corp" numFmtId="0">
      <sharedItems containsSemiMixedTypes="0" containsString="0" containsNumber="1" containsInteger="1" minValue="1560" maxValue="3237"/>
    </cacheField>
    <cacheField name="divider" numFmtId="0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n v="1560"/>
    <x v="0"/>
  </r>
  <r>
    <x v="0"/>
    <x v="1"/>
    <x v="1"/>
    <n v="2741"/>
    <x v="0"/>
  </r>
  <r>
    <x v="0"/>
    <x v="2"/>
    <x v="2"/>
    <n v="3041"/>
    <x v="0"/>
  </r>
  <r>
    <x v="0"/>
    <x v="3"/>
    <x v="3"/>
    <n v="3115"/>
    <x v="0"/>
  </r>
  <r>
    <x v="0"/>
    <x v="4"/>
    <x v="4"/>
    <n v="3100"/>
    <x v="0"/>
  </r>
  <r>
    <x v="1"/>
    <x v="0"/>
    <x v="5"/>
    <n v="2389"/>
    <x v="1"/>
  </r>
  <r>
    <x v="1"/>
    <x v="1"/>
    <x v="6"/>
    <n v="2662"/>
    <x v="1"/>
  </r>
  <r>
    <x v="1"/>
    <x v="2"/>
    <x v="7"/>
    <n v="2810"/>
    <x v="1"/>
  </r>
  <r>
    <x v="1"/>
    <x v="3"/>
    <x v="8"/>
    <n v="1843"/>
    <x v="1"/>
  </r>
  <r>
    <x v="1"/>
    <x v="4"/>
    <x v="9"/>
    <n v="3237"/>
    <x v="1"/>
  </r>
  <r>
    <x v="2"/>
    <x v="0"/>
    <x v="10"/>
    <n v="2835"/>
    <x v="0"/>
  </r>
  <r>
    <x v="2"/>
    <x v="1"/>
    <x v="11"/>
    <n v="2698"/>
    <x v="0"/>
  </r>
  <r>
    <x v="2"/>
    <x v="2"/>
    <x v="12"/>
    <n v="1823"/>
    <x v="0"/>
  </r>
  <r>
    <x v="2"/>
    <x v="3"/>
    <x v="13"/>
    <n v="1777"/>
    <x v="0"/>
  </r>
  <r>
    <x v="2"/>
    <x v="4"/>
    <x v="14"/>
    <n v="1895"/>
    <x v="0"/>
  </r>
  <r>
    <x v="3"/>
    <x v="0"/>
    <x v="15"/>
    <n v="2592"/>
    <x v="1"/>
  </r>
  <r>
    <x v="3"/>
    <x v="1"/>
    <x v="16"/>
    <n v="2410"/>
    <x v="1"/>
  </r>
  <r>
    <x v="3"/>
    <x v="2"/>
    <x v="17"/>
    <n v="3116"/>
    <x v="1"/>
  </r>
  <r>
    <x v="3"/>
    <x v="3"/>
    <x v="18"/>
    <n v="2428"/>
    <x v="1"/>
  </r>
  <r>
    <x v="3"/>
    <x v="4"/>
    <x v="19"/>
    <n v="319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274AB-5E47-495C-BF24-B3AF13D5A8CE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H3:M25" firstHeaderRow="1" firstDataRow="3" firstDataCol="2"/>
  <pivotFields count="5"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5">
        <item x="0"/>
        <item x="1"/>
        <item x="2"/>
        <item x="3"/>
        <item x="4"/>
      </items>
    </pivotField>
    <pivotField dataField="1" compact="0" outline="0" showAll="0" defaultSubtotal="0">
      <items count="20">
        <item x="11"/>
        <item x="8"/>
        <item x="3"/>
        <item x="9"/>
        <item x="0"/>
        <item x="18"/>
        <item x="13"/>
        <item x="19"/>
        <item x="14"/>
        <item x="6"/>
        <item x="15"/>
        <item x="5"/>
        <item x="10"/>
        <item x="16"/>
        <item x="12"/>
        <item x="2"/>
        <item x="4"/>
        <item x="17"/>
        <item x="7"/>
        <item x="1"/>
      </items>
    </pivotField>
    <pivotField dataField="1" compact="0" outline="0" showAll="0" defaultSubtotal="0"/>
    <pivotField axis="axisCol" compact="0" outline="0" showAll="0" defaultSubtotal="0">
      <items count="2">
        <item x="0"/>
        <item x="1"/>
      </items>
    </pivotField>
  </pivotFields>
  <rowFields count="2">
    <field x="0"/>
    <field x="1"/>
  </rowFields>
  <rowItems count="20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>
      <x v="2"/>
      <x/>
    </i>
    <i r="1">
      <x v="1"/>
    </i>
    <i r="1">
      <x v="2"/>
    </i>
    <i r="1">
      <x v="3"/>
    </i>
    <i r="1">
      <x v="4"/>
    </i>
    <i>
      <x v="3"/>
      <x/>
    </i>
    <i r="1">
      <x v="1"/>
    </i>
    <i r="1">
      <x v="2"/>
    </i>
    <i r="1">
      <x v="3"/>
    </i>
    <i r="1">
      <x v="4"/>
    </i>
  </rowItems>
  <colFields count="2">
    <field x="4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Sum of Umbrella Corp" fld="3" baseField="0" baseItem="0"/>
    <dataField name="Sum of Acme Corp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4BAC-7DDC-4D6A-86B6-D21C6B50F230}">
  <dimension ref="A1:CWT3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8.453125" style="29" bestFit="1" customWidth="1"/>
    <col min="2" max="2" width="3.54296875" style="29" bestFit="1" customWidth="1"/>
    <col min="3" max="5" width="2" style="29" bestFit="1" customWidth="1"/>
    <col min="6" max="6" width="4.453125" style="29" bestFit="1" customWidth="1"/>
    <col min="7" max="7" width="4.7265625" style="29" bestFit="1" customWidth="1"/>
    <col min="8" max="8" width="4.1796875" style="29" bestFit="1" customWidth="1"/>
    <col min="9" max="9" width="7.26953125" style="29" bestFit="1" customWidth="1"/>
    <col min="10" max="10" width="9" style="29" bestFit="1" customWidth="1"/>
    <col min="11" max="11" width="10.453125" style="29" bestFit="1" customWidth="1"/>
    <col min="12" max="12" width="7.453125" style="29" bestFit="1" customWidth="1"/>
    <col min="13" max="14" width="6" style="29" bestFit="1" customWidth="1"/>
    <col min="15" max="17" width="6.81640625" style="29" bestFit="1" customWidth="1"/>
    <col min="18" max="18" width="4.7265625" style="29" bestFit="1" customWidth="1"/>
    <col min="19" max="19" width="11.81640625" style="29" bestFit="1" customWidth="1"/>
    <col min="20" max="20" width="11.54296875" style="29" bestFit="1" customWidth="1"/>
    <col min="21" max="21" width="9" style="29" bestFit="1" customWidth="1"/>
    <col min="22" max="22" width="10.1796875" style="29" bestFit="1" customWidth="1"/>
    <col min="23" max="23" width="8.453125" style="29" bestFit="1" customWidth="1"/>
    <col min="24" max="24" width="11.1796875" style="29" bestFit="1" customWidth="1"/>
    <col min="25" max="25" width="4.54296875" style="29" bestFit="1" customWidth="1"/>
    <col min="26" max="26" width="3.453125" style="29" bestFit="1" customWidth="1"/>
    <col min="27" max="29" width="2" style="29" bestFit="1" customWidth="1"/>
    <col min="30" max="30" width="4.453125" style="29" bestFit="1" customWidth="1"/>
    <col min="31" max="31" width="4.7265625" style="29" bestFit="1" customWidth="1"/>
    <col min="32" max="32" width="4.1796875" style="29" bestFit="1" customWidth="1"/>
    <col min="33" max="33" width="11.453125" style="29" bestFit="1" customWidth="1"/>
    <col min="34" max="34" width="8.26953125" style="29" bestFit="1" customWidth="1"/>
    <col min="35" max="41" width="6" style="29" bestFit="1" customWidth="1"/>
    <col min="42" max="44" width="7" style="29" bestFit="1" customWidth="1"/>
    <col min="45" max="50" width="6.81640625" style="29" bestFit="1" customWidth="1"/>
    <col min="51" max="53" width="7.81640625" style="29" bestFit="1" customWidth="1"/>
    <col min="54" max="54" width="12" style="29" bestFit="1" customWidth="1"/>
    <col min="55" max="55" width="6.54296875" style="29" bestFit="1" customWidth="1"/>
    <col min="56" max="56" width="9.1796875" style="29"/>
    <col min="57" max="62" width="2" style="29" bestFit="1" customWidth="1"/>
    <col min="63" max="63" width="7.81640625" style="29" bestFit="1" customWidth="1"/>
    <col min="64" max="65" width="7.1796875" style="29" bestFit="1" customWidth="1"/>
    <col min="66" max="100" width="9.1796875" style="29"/>
    <col min="101" max="101" width="20.453125" style="29" bestFit="1" customWidth="1"/>
    <col min="102" max="102" width="11.81640625" style="29" bestFit="1" customWidth="1"/>
    <col min="103" max="103" width="11.54296875" style="29" bestFit="1" customWidth="1"/>
    <col min="104" max="104" width="9" style="29" bestFit="1" customWidth="1"/>
    <col min="105" max="105" width="10.1796875" style="29" bestFit="1" customWidth="1"/>
    <col min="106" max="107" width="6.453125" style="29" bestFit="1" customWidth="1"/>
    <col min="108" max="108" width="4.26953125" style="29" bestFit="1" customWidth="1"/>
    <col min="109" max="110" width="7.81640625" style="29" bestFit="1" customWidth="1"/>
    <col min="111" max="112" width="6.453125" style="29" bestFit="1" customWidth="1"/>
    <col min="113" max="113" width="4.26953125" style="29" bestFit="1" customWidth="1"/>
    <col min="114" max="115" width="7.81640625" style="29" bestFit="1" customWidth="1"/>
    <col min="116" max="1500" width="9.1796875" style="29"/>
    <col min="1501" max="1501" width="24" style="29" bestFit="1" customWidth="1"/>
    <col min="1502" max="1502" width="11.81640625" style="29" bestFit="1" customWidth="1"/>
    <col min="1503" max="1503" width="11.54296875" style="29" bestFit="1" customWidth="1"/>
    <col min="1504" max="1504" width="9" style="29" bestFit="1" customWidth="1"/>
    <col min="1505" max="1505" width="10.1796875" style="29" bestFit="1" customWidth="1"/>
    <col min="1506" max="1506" width="7.81640625" style="29" bestFit="1" customWidth="1"/>
    <col min="1507" max="1600" width="9.1796875" style="29"/>
    <col min="1601" max="1601" width="14.453125" style="29" bestFit="1" customWidth="1"/>
    <col min="1602" max="1602" width="3.54296875" style="29" bestFit="1" customWidth="1"/>
    <col min="1603" max="1603" width="6.54296875" style="29" bestFit="1" customWidth="1"/>
    <col min="1604" max="1604" width="7.1796875" style="29" bestFit="1" customWidth="1"/>
    <col min="1605" max="1605" width="7.453125" style="29" bestFit="1" customWidth="1"/>
    <col min="1606" max="1608" width="6" style="29" bestFit="1" customWidth="1"/>
    <col min="1609" max="1609" width="7.26953125" style="29" bestFit="1" customWidth="1"/>
    <col min="1610" max="1610" width="9" style="29" bestFit="1" customWidth="1"/>
    <col min="1611" max="1611" width="9.7265625" style="29" bestFit="1" customWidth="1"/>
    <col min="1612" max="1612" width="7" style="29" bestFit="1" customWidth="1"/>
    <col min="1613" max="1613" width="8.54296875" style="29" bestFit="1" customWidth="1"/>
    <col min="1614" max="1614" width="4.81640625" style="29" bestFit="1" customWidth="1"/>
    <col min="1615" max="1617" width="7.1796875" style="29" bestFit="1" customWidth="1"/>
    <col min="1618" max="1618" width="6.81640625" style="29" bestFit="1" customWidth="1"/>
    <col min="1619" max="1619" width="11.81640625" style="29" bestFit="1" customWidth="1"/>
    <col min="1620" max="1620" width="11.54296875" style="29" bestFit="1" customWidth="1"/>
    <col min="1621" max="1621" width="9" style="29" bestFit="1" customWidth="1"/>
    <col min="1622" max="1622" width="10.1796875" style="29" bestFit="1" customWidth="1"/>
    <col min="1623" max="1623" width="6.81640625" style="29" bestFit="1" customWidth="1"/>
    <col min="1624" max="1624" width="7.1796875" style="29" bestFit="1" customWidth="1"/>
    <col min="1625" max="1900" width="9.1796875" style="29"/>
    <col min="1901" max="1901" width="24.453125" style="29" bestFit="1" customWidth="1"/>
    <col min="1902" max="1902" width="11.81640625" style="29" bestFit="1" customWidth="1"/>
    <col min="1903" max="1903" width="11.54296875" style="29" bestFit="1" customWidth="1"/>
    <col min="1904" max="1904" width="9" style="29" bestFit="1" customWidth="1"/>
    <col min="1905" max="1905" width="10.1796875" style="29" bestFit="1" customWidth="1"/>
    <col min="1906" max="2000" width="9.1796875" style="29"/>
    <col min="2001" max="2001" width="21" style="29" bestFit="1" customWidth="1"/>
    <col min="2002" max="2002" width="11.81640625" style="29" bestFit="1" customWidth="1"/>
    <col min="2003" max="2003" width="11.54296875" style="29" bestFit="1" customWidth="1"/>
    <col min="2004" max="2004" width="9" style="29" bestFit="1" customWidth="1"/>
    <col min="2005" max="2005" width="10.1796875" style="29" bestFit="1" customWidth="1"/>
    <col min="2006" max="2006" width="6.54296875" style="29" bestFit="1" customWidth="1"/>
    <col min="2007" max="2007" width="7" style="29" bestFit="1" customWidth="1"/>
    <col min="2008" max="2008" width="11.1796875" style="29" bestFit="1" customWidth="1"/>
    <col min="2009" max="2009" width="10" style="29" bestFit="1" customWidth="1"/>
    <col min="2010" max="2010" width="7" style="29" bestFit="1" customWidth="1"/>
    <col min="2011" max="2011" width="5.54296875" style="29" bestFit="1" customWidth="1"/>
    <col min="2012" max="2012" width="17.81640625" style="29" bestFit="1" customWidth="1"/>
    <col min="2013" max="2100" width="9.1796875" style="29"/>
    <col min="2101" max="2101" width="18.453125" style="29" bestFit="1" customWidth="1"/>
    <col min="2102" max="2102" width="11.81640625" style="29" bestFit="1" customWidth="1"/>
    <col min="2103" max="2103" width="11.54296875" style="29" bestFit="1" customWidth="1"/>
    <col min="2104" max="2104" width="9" style="29" bestFit="1" customWidth="1"/>
    <col min="2105" max="2105" width="10.1796875" style="29" bestFit="1" customWidth="1"/>
    <col min="2106" max="2109" width="9.1796875" style="29"/>
  </cols>
  <sheetData>
    <row r="1" spans="1:2646" s="2" customFormat="1" x14ac:dyDescent="0.35">
      <c r="A1" s="18" t="s">
        <v>11</v>
      </c>
      <c r="B1" s="18" t="s">
        <v>12</v>
      </c>
      <c r="C1" s="18">
        <v>1</v>
      </c>
      <c r="D1" s="18">
        <v>2</v>
      </c>
      <c r="E1" s="18">
        <v>3</v>
      </c>
      <c r="F1" s="18" t="s">
        <v>13</v>
      </c>
      <c r="G1" s="18" t="s">
        <v>14</v>
      </c>
      <c r="H1" s="18" t="s">
        <v>15</v>
      </c>
      <c r="I1" s="18" t="s">
        <v>16</v>
      </c>
      <c r="J1" s="18" t="s">
        <v>17</v>
      </c>
      <c r="K1" s="18" t="s">
        <v>18</v>
      </c>
      <c r="L1" s="18" t="s">
        <v>19</v>
      </c>
      <c r="M1" s="18" t="s">
        <v>20</v>
      </c>
      <c r="N1" s="18" t="s">
        <v>21</v>
      </c>
      <c r="O1" s="26" t="s">
        <v>22</v>
      </c>
      <c r="P1" s="18" t="s">
        <v>23</v>
      </c>
      <c r="Q1" s="18" t="s">
        <v>24</v>
      </c>
      <c r="R1" s="18" t="s">
        <v>25</v>
      </c>
      <c r="S1" s="18" t="s">
        <v>26</v>
      </c>
      <c r="T1" s="18" t="s">
        <v>27</v>
      </c>
      <c r="U1" s="18" t="s">
        <v>28</v>
      </c>
      <c r="V1" s="18" t="s">
        <v>29</v>
      </c>
      <c r="W1" s="18" t="s">
        <v>30</v>
      </c>
      <c r="X1" s="18" t="s">
        <v>31</v>
      </c>
      <c r="Y1" s="18" t="s">
        <v>32</v>
      </c>
      <c r="Z1" s="19" t="s">
        <v>33</v>
      </c>
      <c r="AA1" s="19">
        <v>1</v>
      </c>
      <c r="AB1" s="19">
        <v>2</v>
      </c>
      <c r="AC1" s="19">
        <v>3</v>
      </c>
      <c r="AD1" s="19" t="s">
        <v>13</v>
      </c>
      <c r="AE1" s="19" t="s">
        <v>14</v>
      </c>
      <c r="AF1" s="19" t="s">
        <v>15</v>
      </c>
      <c r="AG1" s="19" t="s">
        <v>34</v>
      </c>
      <c r="AH1" s="19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27" t="s">
        <v>46</v>
      </c>
      <c r="AT1" s="27" t="s">
        <v>47</v>
      </c>
      <c r="AU1" s="27" t="s">
        <v>48</v>
      </c>
      <c r="AV1" s="27" t="s">
        <v>49</v>
      </c>
      <c r="AW1" s="27" t="s">
        <v>50</v>
      </c>
      <c r="AX1" s="27" t="s">
        <v>51</v>
      </c>
      <c r="AY1" s="27" t="s">
        <v>52</v>
      </c>
      <c r="AZ1" s="27" t="s">
        <v>53</v>
      </c>
      <c r="BA1" s="27" t="s">
        <v>54</v>
      </c>
      <c r="BB1" s="28" t="s">
        <v>55</v>
      </c>
      <c r="BC1" s="28" t="s">
        <v>56</v>
      </c>
      <c r="BD1" s="17" t="s">
        <v>57</v>
      </c>
      <c r="BE1" s="18">
        <v>1</v>
      </c>
      <c r="BF1" s="18">
        <v>2</v>
      </c>
      <c r="BG1" s="18">
        <v>3</v>
      </c>
      <c r="BH1" s="19">
        <v>1</v>
      </c>
      <c r="BI1" s="19">
        <v>2</v>
      </c>
      <c r="BJ1" s="19">
        <v>3</v>
      </c>
      <c r="BK1" s="18" t="s">
        <v>58</v>
      </c>
      <c r="BL1" s="18" t="s">
        <v>59</v>
      </c>
      <c r="BM1" s="18" t="s">
        <v>60</v>
      </c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0" t="s">
        <v>61</v>
      </c>
      <c r="CX1" s="20" t="s">
        <v>26</v>
      </c>
      <c r="CY1" s="20" t="s">
        <v>27</v>
      </c>
      <c r="CZ1" s="21" t="s">
        <v>28</v>
      </c>
      <c r="DA1" s="20" t="s">
        <v>29</v>
      </c>
      <c r="DB1" s="21" t="s">
        <v>62</v>
      </c>
      <c r="DC1" s="21" t="s">
        <v>63</v>
      </c>
      <c r="DD1" s="21" t="s">
        <v>64</v>
      </c>
      <c r="DE1" s="21" t="s">
        <v>65</v>
      </c>
      <c r="DF1" s="21" t="s">
        <v>66</v>
      </c>
      <c r="DG1" s="21" t="s">
        <v>62</v>
      </c>
      <c r="DH1" s="21" t="s">
        <v>63</v>
      </c>
      <c r="DI1" s="21" t="s">
        <v>64</v>
      </c>
      <c r="DJ1" s="21" t="s">
        <v>65</v>
      </c>
      <c r="DK1" s="21" t="s">
        <v>66</v>
      </c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  <c r="IV1" s="21"/>
      <c r="IW1" s="21"/>
      <c r="IX1" s="21"/>
      <c r="IY1" s="21"/>
      <c r="IZ1" s="21"/>
      <c r="JA1" s="21"/>
      <c r="JB1" s="21"/>
      <c r="JC1" s="21"/>
      <c r="JD1" s="21"/>
      <c r="JE1" s="21"/>
      <c r="JF1" s="21"/>
      <c r="JG1" s="21"/>
      <c r="JH1" s="21"/>
      <c r="JI1" s="21"/>
      <c r="JJ1" s="21"/>
      <c r="JK1" s="21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X1" s="21"/>
      <c r="JY1" s="21"/>
      <c r="JZ1" s="21"/>
      <c r="KA1" s="21"/>
      <c r="KB1" s="21"/>
      <c r="KC1" s="21"/>
      <c r="KD1" s="21"/>
      <c r="KE1" s="21"/>
      <c r="KF1" s="21"/>
      <c r="KG1" s="21"/>
      <c r="KH1" s="21"/>
      <c r="KI1" s="21"/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1"/>
      <c r="LL1" s="21"/>
      <c r="LM1" s="21"/>
      <c r="LN1" s="21"/>
      <c r="LO1" s="21"/>
      <c r="LP1" s="21"/>
      <c r="LQ1" s="21"/>
      <c r="LR1" s="21"/>
      <c r="LS1" s="21"/>
      <c r="LT1" s="21"/>
      <c r="LU1" s="21"/>
      <c r="LV1" s="21"/>
      <c r="LW1" s="21"/>
      <c r="LX1" s="21"/>
      <c r="LY1" s="21"/>
      <c r="LZ1" s="21"/>
      <c r="MA1" s="21"/>
      <c r="MB1" s="21"/>
      <c r="MC1" s="21"/>
      <c r="MD1" s="21"/>
      <c r="ME1" s="21"/>
      <c r="MF1" s="21"/>
      <c r="MG1" s="21"/>
      <c r="MH1" s="21"/>
      <c r="MI1" s="21"/>
      <c r="MJ1" s="21"/>
      <c r="MK1" s="21"/>
      <c r="ML1" s="21"/>
      <c r="MM1" s="21"/>
      <c r="MN1" s="21"/>
      <c r="MO1" s="21"/>
      <c r="MP1" s="21"/>
      <c r="MQ1" s="21"/>
      <c r="MR1" s="21"/>
      <c r="MS1" s="21"/>
      <c r="MT1" s="21"/>
      <c r="MU1" s="21"/>
      <c r="MV1" s="21"/>
      <c r="MW1" s="21"/>
      <c r="MX1" s="21"/>
      <c r="MY1" s="21"/>
      <c r="MZ1" s="21"/>
      <c r="NA1" s="21"/>
      <c r="NB1" s="21"/>
      <c r="NC1" s="21"/>
      <c r="ND1" s="21"/>
      <c r="NE1" s="21"/>
      <c r="NF1" s="21"/>
      <c r="NG1" s="21"/>
      <c r="NH1" s="21"/>
      <c r="NI1" s="21"/>
      <c r="NJ1" s="21"/>
      <c r="NK1" s="21"/>
      <c r="NL1" s="21"/>
      <c r="NM1" s="21"/>
      <c r="NN1" s="21"/>
      <c r="NO1" s="21"/>
      <c r="NP1" s="21"/>
      <c r="NQ1" s="21"/>
      <c r="NR1" s="21"/>
      <c r="NS1" s="21"/>
      <c r="NT1" s="21"/>
      <c r="NU1" s="21"/>
      <c r="NV1" s="21"/>
      <c r="NW1" s="21"/>
      <c r="NX1" s="21"/>
      <c r="NY1" s="21"/>
      <c r="NZ1" s="21"/>
      <c r="OA1" s="21"/>
      <c r="OB1" s="21"/>
      <c r="OC1" s="21"/>
      <c r="OD1" s="21"/>
      <c r="OE1" s="21"/>
      <c r="OF1" s="21"/>
      <c r="OG1" s="21"/>
      <c r="OH1" s="21"/>
      <c r="OI1" s="21"/>
      <c r="OJ1" s="21"/>
      <c r="OK1" s="21"/>
      <c r="OL1" s="21"/>
      <c r="OM1" s="21"/>
      <c r="ON1" s="21"/>
      <c r="OO1" s="21"/>
      <c r="OP1" s="21"/>
      <c r="OQ1" s="21"/>
      <c r="OR1" s="21"/>
      <c r="OS1" s="21"/>
      <c r="OT1" s="21"/>
      <c r="OU1" s="21"/>
      <c r="OV1" s="21"/>
      <c r="OW1" s="21"/>
      <c r="OX1" s="21"/>
      <c r="OY1" s="21"/>
      <c r="OZ1" s="21"/>
      <c r="PA1" s="21"/>
      <c r="PB1" s="21"/>
      <c r="PC1" s="21"/>
      <c r="PD1" s="21"/>
      <c r="PE1" s="21"/>
      <c r="PF1" s="21"/>
      <c r="PG1" s="21"/>
      <c r="PH1" s="21"/>
      <c r="PI1" s="21"/>
      <c r="PJ1" s="21"/>
      <c r="PK1" s="21"/>
      <c r="PL1" s="21"/>
      <c r="PM1" s="21"/>
      <c r="PN1" s="21"/>
      <c r="PO1" s="21"/>
      <c r="PP1" s="21"/>
      <c r="PQ1" s="21"/>
      <c r="PR1" s="21"/>
      <c r="PS1" s="21"/>
      <c r="PT1" s="21"/>
      <c r="PU1" s="21"/>
      <c r="PV1" s="21"/>
      <c r="PW1" s="21"/>
      <c r="PX1" s="21"/>
      <c r="PY1" s="21"/>
      <c r="PZ1" s="21"/>
      <c r="QA1" s="21"/>
      <c r="QB1" s="21"/>
      <c r="QC1" s="21"/>
      <c r="QD1" s="21"/>
      <c r="QE1" s="21"/>
      <c r="QF1" s="21"/>
      <c r="QG1" s="21"/>
      <c r="QH1" s="21"/>
      <c r="QI1" s="21"/>
      <c r="QJ1" s="21"/>
      <c r="QK1" s="21"/>
      <c r="QL1" s="21"/>
      <c r="QM1" s="21"/>
      <c r="QN1" s="21"/>
      <c r="QO1" s="21"/>
      <c r="QP1" s="21"/>
      <c r="QQ1" s="21"/>
      <c r="QR1" s="21"/>
      <c r="QS1" s="21"/>
      <c r="QT1" s="21"/>
      <c r="QU1" s="21"/>
      <c r="QV1" s="21"/>
      <c r="QW1" s="21"/>
      <c r="QX1" s="21"/>
      <c r="QY1" s="21"/>
      <c r="QZ1" s="21"/>
      <c r="RA1" s="21"/>
      <c r="RB1" s="21"/>
      <c r="RC1" s="21"/>
      <c r="RD1" s="21"/>
      <c r="RE1" s="21"/>
      <c r="RF1" s="21"/>
      <c r="RG1" s="21"/>
      <c r="RH1" s="21"/>
      <c r="RI1" s="21"/>
      <c r="RJ1" s="21"/>
      <c r="RK1" s="21"/>
      <c r="RL1" s="21"/>
      <c r="RM1" s="21"/>
      <c r="RN1" s="21"/>
      <c r="RO1" s="21"/>
      <c r="RP1" s="21"/>
      <c r="RQ1" s="21"/>
      <c r="RR1" s="21"/>
      <c r="RS1" s="21"/>
      <c r="RT1" s="21"/>
      <c r="RU1" s="21"/>
      <c r="RV1" s="21"/>
      <c r="RW1" s="21"/>
      <c r="RX1" s="21"/>
      <c r="RY1" s="21"/>
      <c r="RZ1" s="21"/>
      <c r="SA1" s="21"/>
      <c r="SB1" s="21"/>
      <c r="SC1" s="21"/>
      <c r="SD1" s="21"/>
      <c r="SE1" s="21"/>
      <c r="SF1" s="21"/>
      <c r="SG1" s="21"/>
      <c r="SH1" s="21"/>
      <c r="SI1" s="21"/>
      <c r="SJ1" s="21"/>
      <c r="SK1" s="21"/>
      <c r="SL1" s="21"/>
      <c r="SM1" s="21"/>
      <c r="SN1" s="21"/>
      <c r="SO1" s="21"/>
      <c r="SP1" s="21"/>
      <c r="SQ1" s="21"/>
      <c r="SR1" s="21"/>
      <c r="SS1" s="21"/>
      <c r="ST1" s="21"/>
      <c r="SU1" s="21"/>
      <c r="SV1" s="21"/>
      <c r="SW1" s="21"/>
      <c r="SX1" s="21"/>
      <c r="SY1" s="21"/>
      <c r="SZ1" s="21"/>
      <c r="TA1" s="21"/>
      <c r="TB1" s="21"/>
      <c r="TC1" s="21"/>
      <c r="TD1" s="21"/>
      <c r="TE1" s="21"/>
      <c r="TF1" s="21"/>
      <c r="TG1" s="21"/>
      <c r="TH1" s="21"/>
      <c r="TI1" s="21"/>
      <c r="TJ1" s="21"/>
      <c r="TK1" s="21"/>
      <c r="TL1" s="21"/>
      <c r="TM1" s="21"/>
      <c r="TN1" s="21"/>
      <c r="TO1" s="21"/>
      <c r="TP1" s="21"/>
      <c r="TQ1" s="21"/>
      <c r="TR1" s="21"/>
      <c r="TS1" s="21"/>
      <c r="TT1" s="21"/>
      <c r="TU1" s="21"/>
      <c r="TV1" s="21"/>
      <c r="TW1" s="21"/>
      <c r="TX1" s="21"/>
      <c r="TY1" s="21"/>
      <c r="TZ1" s="21"/>
      <c r="UA1" s="21"/>
      <c r="UB1" s="21"/>
      <c r="UC1" s="21"/>
      <c r="UD1" s="21"/>
      <c r="UE1" s="21"/>
      <c r="UF1" s="21"/>
      <c r="UG1" s="21"/>
      <c r="UH1" s="21"/>
      <c r="UI1" s="21"/>
      <c r="UJ1" s="21"/>
      <c r="UK1" s="21"/>
      <c r="UL1" s="21"/>
      <c r="UM1" s="21"/>
      <c r="UN1" s="21"/>
      <c r="UO1" s="21"/>
      <c r="UP1" s="21"/>
      <c r="UQ1" s="21"/>
      <c r="UR1" s="21"/>
      <c r="US1" s="21"/>
      <c r="UT1" s="21"/>
      <c r="UU1" s="21"/>
      <c r="UV1" s="21"/>
      <c r="UW1" s="21"/>
      <c r="UX1" s="21"/>
      <c r="UY1" s="21"/>
      <c r="UZ1" s="21"/>
      <c r="VA1" s="21"/>
      <c r="VB1" s="21"/>
      <c r="VC1" s="21"/>
      <c r="VD1" s="21"/>
      <c r="VE1" s="21"/>
      <c r="VF1" s="21"/>
      <c r="VG1" s="21"/>
      <c r="VH1" s="21"/>
      <c r="VI1" s="21"/>
      <c r="VJ1" s="21"/>
      <c r="VK1" s="21"/>
      <c r="VL1" s="21"/>
      <c r="VM1" s="21"/>
      <c r="VN1" s="21"/>
      <c r="VO1" s="21"/>
      <c r="VP1" s="21"/>
      <c r="VQ1" s="21"/>
      <c r="VR1" s="21"/>
      <c r="VS1" s="21"/>
      <c r="VT1" s="21"/>
      <c r="VU1" s="21"/>
      <c r="VV1" s="21"/>
      <c r="VW1" s="21"/>
      <c r="VX1" s="21"/>
      <c r="VY1" s="21"/>
      <c r="VZ1" s="21"/>
      <c r="WA1" s="21"/>
      <c r="WB1" s="21"/>
      <c r="WC1" s="21"/>
      <c r="WD1" s="21"/>
      <c r="WE1" s="21"/>
      <c r="WF1" s="21"/>
      <c r="WG1" s="21"/>
      <c r="WH1" s="21"/>
      <c r="WI1" s="21"/>
      <c r="WJ1" s="21"/>
      <c r="WK1" s="21"/>
      <c r="WL1" s="21"/>
      <c r="WM1" s="21"/>
      <c r="WN1" s="21"/>
      <c r="WO1" s="21"/>
      <c r="WP1" s="21"/>
      <c r="WQ1" s="21"/>
      <c r="WR1" s="21"/>
      <c r="WS1" s="21"/>
      <c r="WT1" s="21"/>
      <c r="WU1" s="21"/>
      <c r="WV1" s="21"/>
      <c r="WW1" s="21"/>
      <c r="WX1" s="21"/>
      <c r="WY1" s="21"/>
      <c r="WZ1" s="21"/>
      <c r="XA1" s="21"/>
      <c r="XB1" s="21"/>
      <c r="XC1" s="21"/>
      <c r="XD1" s="21"/>
      <c r="XE1" s="21"/>
      <c r="XF1" s="21"/>
      <c r="XG1" s="21"/>
      <c r="XH1" s="21"/>
      <c r="XI1" s="21"/>
      <c r="XJ1" s="21"/>
      <c r="XK1" s="21"/>
      <c r="XL1" s="21"/>
      <c r="XM1" s="21"/>
      <c r="XN1" s="21"/>
      <c r="XO1" s="21"/>
      <c r="XP1" s="21"/>
      <c r="XQ1" s="21"/>
      <c r="XR1" s="21"/>
      <c r="XS1" s="21"/>
      <c r="XT1" s="21"/>
      <c r="XU1" s="21"/>
      <c r="XV1" s="21"/>
      <c r="XW1" s="21"/>
      <c r="XX1" s="21"/>
      <c r="XY1" s="21"/>
      <c r="XZ1" s="21"/>
      <c r="YA1" s="21"/>
      <c r="YB1" s="21"/>
      <c r="YC1" s="21"/>
      <c r="YD1" s="21"/>
      <c r="YE1" s="21"/>
      <c r="YF1" s="21"/>
      <c r="YG1" s="21"/>
      <c r="YH1" s="21"/>
      <c r="YI1" s="21"/>
      <c r="YJ1" s="21"/>
      <c r="YK1" s="21"/>
      <c r="YL1" s="21"/>
      <c r="YM1" s="21"/>
      <c r="YN1" s="21"/>
      <c r="YO1" s="21"/>
      <c r="YP1" s="21"/>
      <c r="YQ1" s="21"/>
      <c r="YR1" s="21"/>
      <c r="YS1" s="21"/>
      <c r="YT1" s="21"/>
      <c r="YU1" s="21"/>
      <c r="YV1" s="21"/>
      <c r="YW1" s="21"/>
      <c r="YX1" s="21"/>
      <c r="YY1" s="21"/>
      <c r="YZ1" s="21"/>
      <c r="ZA1" s="21"/>
      <c r="ZB1" s="21"/>
      <c r="ZC1" s="21"/>
      <c r="ZD1" s="21"/>
      <c r="ZE1" s="21"/>
      <c r="ZF1" s="21"/>
      <c r="ZG1" s="21"/>
      <c r="ZH1" s="21"/>
      <c r="ZI1" s="21"/>
      <c r="ZJ1" s="21"/>
      <c r="ZK1" s="21"/>
      <c r="ZL1" s="21"/>
      <c r="ZM1" s="21"/>
      <c r="ZN1" s="21"/>
      <c r="ZO1" s="21"/>
      <c r="ZP1" s="21"/>
      <c r="ZQ1" s="21"/>
      <c r="ZR1" s="21"/>
      <c r="ZS1" s="21"/>
      <c r="ZT1" s="21"/>
      <c r="ZU1" s="21"/>
      <c r="ZV1" s="21"/>
      <c r="ZW1" s="21"/>
      <c r="ZX1" s="21"/>
      <c r="ZY1" s="21"/>
      <c r="ZZ1" s="21"/>
      <c r="AAA1" s="21"/>
      <c r="AAB1" s="21"/>
      <c r="AAC1" s="21"/>
      <c r="AAD1" s="21"/>
      <c r="AAE1" s="21"/>
      <c r="AAF1" s="21"/>
      <c r="AAG1" s="21"/>
      <c r="AAH1" s="21"/>
      <c r="AAI1" s="21"/>
      <c r="AAJ1" s="21"/>
      <c r="AAK1" s="21"/>
      <c r="AAL1" s="21"/>
      <c r="AAM1" s="21"/>
      <c r="AAN1" s="21"/>
      <c r="AAO1" s="21"/>
      <c r="AAP1" s="21"/>
      <c r="AAQ1" s="21"/>
      <c r="AAR1" s="21"/>
      <c r="AAS1" s="21"/>
      <c r="AAT1" s="21"/>
      <c r="AAU1" s="21"/>
      <c r="AAV1" s="21"/>
      <c r="AAW1" s="21"/>
      <c r="AAX1" s="21"/>
      <c r="AAY1" s="21"/>
      <c r="AAZ1" s="21"/>
      <c r="ABA1" s="21"/>
      <c r="ABB1" s="21"/>
      <c r="ABC1" s="21"/>
      <c r="ABD1" s="21"/>
      <c r="ABE1" s="21"/>
      <c r="ABF1" s="21"/>
      <c r="ABG1" s="21"/>
      <c r="ABH1" s="21"/>
      <c r="ABI1" s="21"/>
      <c r="ABJ1" s="21"/>
      <c r="ABK1" s="21"/>
      <c r="ABL1" s="21"/>
      <c r="ABM1" s="21"/>
      <c r="ABN1" s="21"/>
      <c r="ABO1" s="21"/>
      <c r="ABP1" s="21"/>
      <c r="ABQ1" s="21"/>
      <c r="ABR1" s="21"/>
      <c r="ABS1" s="21"/>
      <c r="ABT1" s="21"/>
      <c r="ABU1" s="21"/>
      <c r="ABV1" s="21"/>
      <c r="ABW1" s="21"/>
      <c r="ABX1" s="21"/>
      <c r="ABY1" s="21"/>
      <c r="ABZ1" s="21"/>
      <c r="ACA1" s="21"/>
      <c r="ACB1" s="21"/>
      <c r="ACC1" s="21"/>
      <c r="ACD1" s="21"/>
      <c r="ACE1" s="21"/>
      <c r="ACF1" s="21"/>
      <c r="ACG1" s="21"/>
      <c r="ACH1" s="21"/>
      <c r="ACI1" s="21"/>
      <c r="ACJ1" s="21"/>
      <c r="ACK1" s="21"/>
      <c r="ACL1" s="21"/>
      <c r="ACM1" s="21"/>
      <c r="ACN1" s="21"/>
      <c r="ACO1" s="21"/>
      <c r="ACP1" s="21"/>
      <c r="ACQ1" s="21"/>
      <c r="ACR1" s="21"/>
      <c r="ACS1" s="21"/>
      <c r="ACT1" s="21"/>
      <c r="ACU1" s="21"/>
      <c r="ACV1" s="21"/>
      <c r="ACW1" s="21"/>
      <c r="ACX1" s="21"/>
      <c r="ACY1" s="21"/>
      <c r="ACZ1" s="21"/>
      <c r="ADA1" s="21"/>
      <c r="ADB1" s="21"/>
      <c r="ADC1" s="21"/>
      <c r="ADD1" s="21"/>
      <c r="ADE1" s="21"/>
      <c r="ADF1" s="21"/>
      <c r="ADG1" s="21"/>
      <c r="ADH1" s="21"/>
      <c r="ADI1" s="21"/>
      <c r="ADJ1" s="21"/>
      <c r="ADK1" s="21"/>
      <c r="ADL1" s="21"/>
      <c r="ADM1" s="21"/>
      <c r="ADN1" s="21"/>
      <c r="ADO1" s="21"/>
      <c r="ADP1" s="21"/>
      <c r="ADQ1" s="21"/>
      <c r="ADR1" s="21"/>
      <c r="ADS1" s="21"/>
      <c r="ADT1" s="21"/>
      <c r="ADU1" s="21"/>
      <c r="ADV1" s="21"/>
      <c r="ADW1" s="21"/>
      <c r="ADX1" s="21"/>
      <c r="ADY1" s="21"/>
      <c r="ADZ1" s="21"/>
      <c r="AEA1" s="21"/>
      <c r="AEB1" s="21"/>
      <c r="AEC1" s="21"/>
      <c r="AED1" s="21"/>
      <c r="AEE1" s="21"/>
      <c r="AEF1" s="21"/>
      <c r="AEG1" s="21"/>
      <c r="AEH1" s="21"/>
      <c r="AEI1" s="21"/>
      <c r="AEJ1" s="21"/>
      <c r="AEK1" s="21"/>
      <c r="AEL1" s="21"/>
      <c r="AEM1" s="21"/>
      <c r="AEN1" s="21"/>
      <c r="AEO1" s="21"/>
      <c r="AEP1" s="21"/>
      <c r="AEQ1" s="21"/>
      <c r="AER1" s="21"/>
      <c r="AES1" s="21"/>
      <c r="AET1" s="21"/>
      <c r="AEU1" s="21"/>
      <c r="AEV1" s="21"/>
      <c r="AEW1" s="21"/>
      <c r="AEX1" s="21"/>
      <c r="AEY1" s="21"/>
      <c r="AEZ1" s="21"/>
      <c r="AFA1" s="21"/>
      <c r="AFB1" s="21"/>
      <c r="AFC1" s="21"/>
      <c r="AFD1" s="21"/>
      <c r="AFE1" s="21"/>
      <c r="AFF1" s="21"/>
      <c r="AFG1" s="21"/>
      <c r="AFH1" s="21"/>
      <c r="AFI1" s="21"/>
      <c r="AFJ1" s="21"/>
      <c r="AFK1" s="21"/>
      <c r="AFL1" s="21"/>
      <c r="AFM1" s="21"/>
      <c r="AFN1" s="21"/>
      <c r="AFO1" s="21"/>
      <c r="AFP1" s="21"/>
      <c r="AFQ1" s="21"/>
      <c r="AFR1" s="21"/>
      <c r="AFS1" s="21"/>
      <c r="AFT1" s="21"/>
      <c r="AFU1" s="21"/>
      <c r="AFV1" s="21"/>
      <c r="AFW1" s="21"/>
      <c r="AFX1" s="21"/>
      <c r="AFY1" s="21"/>
      <c r="AFZ1" s="21"/>
      <c r="AGA1" s="21"/>
      <c r="AGB1" s="21"/>
      <c r="AGC1" s="21"/>
      <c r="AGD1" s="21"/>
      <c r="AGE1" s="21"/>
      <c r="AGF1" s="21"/>
      <c r="AGG1" s="21"/>
      <c r="AGH1" s="21"/>
      <c r="AGI1" s="21"/>
      <c r="AGJ1" s="21"/>
      <c r="AGK1" s="21"/>
      <c r="AGL1" s="21"/>
      <c r="AGM1" s="21"/>
      <c r="AGN1" s="21"/>
      <c r="AGO1" s="21"/>
      <c r="AGP1" s="21"/>
      <c r="AGQ1" s="21"/>
      <c r="AGR1" s="21"/>
      <c r="AGS1" s="21"/>
      <c r="AGT1" s="21"/>
      <c r="AGU1" s="21"/>
      <c r="AGV1" s="21"/>
      <c r="AGW1" s="21"/>
      <c r="AGX1" s="21"/>
      <c r="AGY1" s="21"/>
      <c r="AGZ1" s="21"/>
      <c r="AHA1" s="21"/>
      <c r="AHB1" s="21"/>
      <c r="AHC1" s="21"/>
      <c r="AHD1" s="21"/>
      <c r="AHE1" s="21"/>
      <c r="AHF1" s="21"/>
      <c r="AHG1" s="21"/>
      <c r="AHH1" s="21"/>
      <c r="AHI1" s="21"/>
      <c r="AHJ1" s="21"/>
      <c r="AHK1" s="21"/>
      <c r="AHL1" s="21"/>
      <c r="AHM1" s="21"/>
      <c r="AHN1" s="21"/>
      <c r="AHO1" s="21"/>
      <c r="AHP1" s="21"/>
      <c r="AHQ1" s="21"/>
      <c r="AHR1" s="21"/>
      <c r="AHS1" s="21"/>
      <c r="AHT1" s="21"/>
      <c r="AHU1" s="21"/>
      <c r="AHV1" s="21"/>
      <c r="AHW1" s="21"/>
      <c r="AHX1" s="21"/>
      <c r="AHY1" s="21"/>
      <c r="AHZ1" s="21"/>
      <c r="AIA1" s="21"/>
      <c r="AIB1" s="21"/>
      <c r="AIC1" s="21"/>
      <c r="AID1" s="21"/>
      <c r="AIE1" s="21"/>
      <c r="AIF1" s="21"/>
      <c r="AIG1" s="21"/>
      <c r="AIH1" s="21"/>
      <c r="AII1" s="21"/>
      <c r="AIJ1" s="21"/>
      <c r="AIK1" s="21"/>
      <c r="AIL1" s="21"/>
      <c r="AIM1" s="21"/>
      <c r="AIN1" s="21"/>
      <c r="AIO1" s="21"/>
      <c r="AIP1" s="21"/>
      <c r="AIQ1" s="21"/>
      <c r="AIR1" s="21"/>
      <c r="AIS1" s="21"/>
      <c r="AIT1" s="21"/>
      <c r="AIU1" s="21"/>
      <c r="AIV1" s="21"/>
      <c r="AIW1" s="21"/>
      <c r="AIX1" s="21"/>
      <c r="AIY1" s="21"/>
      <c r="AIZ1" s="21"/>
      <c r="AJA1" s="21"/>
      <c r="AJB1" s="21"/>
      <c r="AJC1" s="21"/>
      <c r="AJD1" s="21"/>
      <c r="AJE1" s="21"/>
      <c r="AJF1" s="21"/>
      <c r="AJG1" s="21"/>
      <c r="AJH1" s="21"/>
      <c r="AJI1" s="21"/>
      <c r="AJJ1" s="21"/>
      <c r="AJK1" s="21"/>
      <c r="AJL1" s="21"/>
      <c r="AJM1" s="21"/>
      <c r="AJN1" s="21"/>
      <c r="AJO1" s="21"/>
      <c r="AJP1" s="21"/>
      <c r="AJQ1" s="21"/>
      <c r="AJR1" s="21"/>
      <c r="AJS1" s="21"/>
      <c r="AJT1" s="21"/>
      <c r="AJU1" s="21"/>
      <c r="AJV1" s="21"/>
      <c r="AJW1" s="21"/>
      <c r="AJX1" s="21"/>
      <c r="AJY1" s="21"/>
      <c r="AJZ1" s="21"/>
      <c r="AKA1" s="21"/>
      <c r="AKB1" s="21"/>
      <c r="AKC1" s="21"/>
      <c r="AKD1" s="21"/>
      <c r="AKE1" s="21"/>
      <c r="AKF1" s="21"/>
      <c r="AKG1" s="21"/>
      <c r="AKH1" s="21"/>
      <c r="AKI1" s="21"/>
      <c r="AKJ1" s="21"/>
      <c r="AKK1" s="21"/>
      <c r="AKL1" s="21"/>
      <c r="AKM1" s="21"/>
      <c r="AKN1" s="21"/>
      <c r="AKO1" s="21"/>
      <c r="AKP1" s="21"/>
      <c r="AKQ1" s="21"/>
      <c r="AKR1" s="21"/>
      <c r="AKS1" s="21"/>
      <c r="AKT1" s="21"/>
      <c r="AKU1" s="21"/>
      <c r="AKV1" s="21"/>
      <c r="AKW1" s="21"/>
      <c r="AKX1" s="21"/>
      <c r="AKY1" s="21"/>
      <c r="AKZ1" s="21"/>
      <c r="ALA1" s="21"/>
      <c r="ALB1" s="21"/>
      <c r="ALC1" s="21"/>
      <c r="ALD1" s="21"/>
      <c r="ALE1" s="21"/>
      <c r="ALF1" s="21"/>
      <c r="ALG1" s="21"/>
      <c r="ALH1" s="21"/>
      <c r="ALI1" s="21"/>
      <c r="ALJ1" s="21"/>
      <c r="ALK1" s="21"/>
      <c r="ALL1" s="21"/>
      <c r="ALM1" s="21"/>
      <c r="ALN1" s="21"/>
      <c r="ALO1" s="21"/>
      <c r="ALP1" s="21"/>
      <c r="ALQ1" s="21"/>
      <c r="ALR1" s="21"/>
      <c r="ALS1" s="21"/>
      <c r="ALT1" s="21"/>
      <c r="ALU1" s="21"/>
      <c r="ALV1" s="21"/>
      <c r="ALW1" s="21"/>
      <c r="ALX1" s="21"/>
      <c r="ALY1" s="21"/>
      <c r="ALZ1" s="21"/>
      <c r="AMA1" s="21"/>
      <c r="AMB1" s="21"/>
      <c r="AMC1" s="21"/>
      <c r="AMD1" s="21"/>
      <c r="AME1" s="21"/>
      <c r="AMF1" s="21"/>
      <c r="AMG1" s="21"/>
      <c r="AMH1" s="21"/>
      <c r="AMI1" s="21"/>
      <c r="AMJ1" s="21"/>
      <c r="AMK1" s="21"/>
      <c r="AML1" s="21"/>
      <c r="AMM1" s="21"/>
      <c r="AMN1" s="21"/>
      <c r="AMO1" s="21"/>
      <c r="AMP1" s="21"/>
      <c r="AMQ1" s="21"/>
      <c r="AMR1" s="21"/>
      <c r="AMS1" s="21"/>
      <c r="AMT1" s="21"/>
      <c r="AMU1" s="21"/>
      <c r="AMV1" s="21"/>
      <c r="AMW1" s="21"/>
      <c r="AMX1" s="21"/>
      <c r="AMY1" s="21"/>
      <c r="AMZ1" s="21"/>
      <c r="ANA1" s="21"/>
      <c r="ANB1" s="21"/>
      <c r="ANC1" s="21"/>
      <c r="AND1" s="21"/>
      <c r="ANE1" s="21"/>
      <c r="ANF1" s="21"/>
      <c r="ANG1" s="21"/>
      <c r="ANH1" s="21"/>
      <c r="ANI1" s="21"/>
      <c r="ANJ1" s="21"/>
      <c r="ANK1" s="21"/>
      <c r="ANL1" s="21"/>
      <c r="ANM1" s="21"/>
      <c r="ANN1" s="21"/>
      <c r="ANO1" s="21"/>
      <c r="ANP1" s="21"/>
      <c r="ANQ1" s="21"/>
      <c r="ANR1" s="21"/>
      <c r="ANS1" s="21"/>
      <c r="ANT1" s="21"/>
      <c r="ANU1" s="21"/>
      <c r="ANV1" s="21"/>
      <c r="ANW1" s="21"/>
      <c r="ANX1" s="21"/>
      <c r="ANY1" s="21"/>
      <c r="ANZ1" s="21"/>
      <c r="AOA1" s="21"/>
      <c r="AOB1" s="21"/>
      <c r="AOC1" s="21"/>
      <c r="AOD1" s="21"/>
      <c r="AOE1" s="21"/>
      <c r="AOF1" s="21"/>
      <c r="AOG1" s="21"/>
      <c r="AOH1" s="21"/>
      <c r="AOI1" s="21"/>
      <c r="AOJ1" s="21"/>
      <c r="AOK1" s="21"/>
      <c r="AOL1" s="21"/>
      <c r="AOM1" s="21"/>
      <c r="AON1" s="21"/>
      <c r="AOO1" s="21"/>
      <c r="AOP1" s="21"/>
      <c r="AOQ1" s="21"/>
      <c r="AOR1" s="21"/>
      <c r="AOS1" s="21"/>
      <c r="AOT1" s="21"/>
      <c r="AOU1" s="21"/>
      <c r="AOV1" s="21"/>
      <c r="AOW1" s="21"/>
      <c r="AOX1" s="21"/>
      <c r="AOY1" s="21"/>
      <c r="AOZ1" s="21"/>
      <c r="APA1" s="21"/>
      <c r="APB1" s="21"/>
      <c r="APC1" s="21"/>
      <c r="APD1" s="21"/>
      <c r="APE1" s="21"/>
      <c r="APF1" s="21"/>
      <c r="APG1" s="21"/>
      <c r="APH1" s="21"/>
      <c r="API1" s="21"/>
      <c r="APJ1" s="21"/>
      <c r="APK1" s="21"/>
      <c r="APL1" s="21"/>
      <c r="APM1" s="21"/>
      <c r="APN1" s="21"/>
      <c r="APO1" s="21"/>
      <c r="APP1" s="21"/>
      <c r="APQ1" s="21"/>
      <c r="APR1" s="21"/>
      <c r="APS1" s="21"/>
      <c r="APT1" s="21"/>
      <c r="APU1" s="21"/>
      <c r="APV1" s="21"/>
      <c r="APW1" s="21"/>
      <c r="APX1" s="21"/>
      <c r="APY1" s="21"/>
      <c r="APZ1" s="21"/>
      <c r="AQA1" s="21"/>
      <c r="AQB1" s="21"/>
      <c r="AQC1" s="21"/>
      <c r="AQD1" s="21"/>
      <c r="AQE1" s="21"/>
      <c r="AQF1" s="21"/>
      <c r="AQG1" s="21"/>
      <c r="AQH1" s="21"/>
      <c r="AQI1" s="21"/>
      <c r="AQJ1" s="21"/>
      <c r="AQK1" s="21"/>
      <c r="AQL1" s="21"/>
      <c r="AQM1" s="21"/>
      <c r="AQN1" s="21"/>
      <c r="AQO1" s="21"/>
      <c r="AQP1" s="21"/>
      <c r="AQQ1" s="21"/>
      <c r="AQR1" s="21"/>
      <c r="AQS1" s="21"/>
      <c r="AQT1" s="21"/>
      <c r="AQU1" s="21"/>
      <c r="AQV1" s="21"/>
      <c r="AQW1" s="21"/>
      <c r="AQX1" s="21"/>
      <c r="AQY1" s="21"/>
      <c r="AQZ1" s="21"/>
      <c r="ARA1" s="21"/>
      <c r="ARB1" s="21"/>
      <c r="ARC1" s="21"/>
      <c r="ARD1" s="21"/>
      <c r="ARE1" s="21"/>
      <c r="ARF1" s="21"/>
      <c r="ARG1" s="21"/>
      <c r="ARH1" s="21"/>
      <c r="ARI1" s="21"/>
      <c r="ARJ1" s="21"/>
      <c r="ARK1" s="21"/>
      <c r="ARL1" s="21"/>
      <c r="ARM1" s="21"/>
      <c r="ARN1" s="21"/>
      <c r="ARO1" s="21"/>
      <c r="ARP1" s="21"/>
      <c r="ARQ1" s="21"/>
      <c r="ARR1" s="21"/>
      <c r="ARS1" s="21"/>
      <c r="ART1" s="21"/>
      <c r="ARU1" s="21"/>
      <c r="ARV1" s="21"/>
      <c r="ARW1" s="21"/>
      <c r="ARX1" s="21"/>
      <c r="ARY1" s="21"/>
      <c r="ARZ1" s="21"/>
      <c r="ASA1" s="21"/>
      <c r="ASB1" s="21"/>
      <c r="ASC1" s="21"/>
      <c r="ASD1" s="21"/>
      <c r="ASE1" s="21"/>
      <c r="ASF1" s="21"/>
      <c r="ASG1" s="21"/>
      <c r="ASH1" s="21"/>
      <c r="ASI1" s="21"/>
      <c r="ASJ1" s="21"/>
      <c r="ASK1" s="21"/>
      <c r="ASL1" s="21"/>
      <c r="ASM1" s="21"/>
      <c r="ASN1" s="21"/>
      <c r="ASO1" s="21"/>
      <c r="ASP1" s="21"/>
      <c r="ASQ1" s="21"/>
      <c r="ASR1" s="21"/>
      <c r="ASS1" s="21"/>
      <c r="AST1" s="21"/>
      <c r="ASU1" s="21"/>
      <c r="ASV1" s="21"/>
      <c r="ASW1" s="21"/>
      <c r="ASX1" s="21"/>
      <c r="ASY1" s="21"/>
      <c r="ASZ1" s="21"/>
      <c r="ATA1" s="21"/>
      <c r="ATB1" s="21"/>
      <c r="ATC1" s="21"/>
      <c r="ATD1" s="21"/>
      <c r="ATE1" s="21"/>
      <c r="ATF1" s="21"/>
      <c r="ATG1" s="21"/>
      <c r="ATH1" s="21"/>
      <c r="ATI1" s="21"/>
      <c r="ATJ1" s="21"/>
      <c r="ATK1" s="21"/>
      <c r="ATL1" s="21"/>
      <c r="ATM1" s="21"/>
      <c r="ATN1" s="21"/>
      <c r="ATO1" s="21"/>
      <c r="ATP1" s="21"/>
      <c r="ATQ1" s="21"/>
      <c r="ATR1" s="21"/>
      <c r="ATS1" s="21"/>
      <c r="ATT1" s="21"/>
      <c r="ATU1" s="21"/>
      <c r="ATV1" s="21"/>
      <c r="ATW1" s="21"/>
      <c r="ATX1" s="21"/>
      <c r="ATY1" s="21"/>
      <c r="ATZ1" s="21"/>
      <c r="AUA1" s="21"/>
      <c r="AUB1" s="21"/>
      <c r="AUC1" s="21"/>
      <c r="AUD1" s="21"/>
      <c r="AUE1" s="21"/>
      <c r="AUF1" s="21"/>
      <c r="AUG1" s="21"/>
      <c r="AUH1" s="21"/>
      <c r="AUI1" s="21"/>
      <c r="AUJ1" s="21"/>
      <c r="AUK1" s="21"/>
      <c r="AUL1" s="21"/>
      <c r="AUM1" s="21"/>
      <c r="AUN1" s="21"/>
      <c r="AUO1" s="21"/>
      <c r="AUP1" s="21"/>
      <c r="AUQ1" s="21"/>
      <c r="AUR1" s="21"/>
      <c r="AUS1" s="21"/>
      <c r="AUT1" s="21"/>
      <c r="AUU1" s="21"/>
      <c r="AUV1" s="21"/>
      <c r="AUW1" s="21"/>
      <c r="AUX1" s="21"/>
      <c r="AUY1" s="21"/>
      <c r="AUZ1" s="21"/>
      <c r="AVA1" s="21"/>
      <c r="AVB1" s="21"/>
      <c r="AVC1" s="21"/>
      <c r="AVD1" s="21"/>
      <c r="AVE1" s="21"/>
      <c r="AVF1" s="21"/>
      <c r="AVG1" s="21"/>
      <c r="AVH1" s="21"/>
      <c r="AVI1" s="21"/>
      <c r="AVJ1" s="21"/>
      <c r="AVK1" s="21"/>
      <c r="AVL1" s="21"/>
      <c r="AVM1" s="21"/>
      <c r="AVN1" s="21"/>
      <c r="AVO1" s="21"/>
      <c r="AVP1" s="21"/>
      <c r="AVQ1" s="21"/>
      <c r="AVR1" s="21"/>
      <c r="AVS1" s="21"/>
      <c r="AVT1" s="21"/>
      <c r="AVU1" s="21"/>
      <c r="AVV1" s="21"/>
      <c r="AVW1" s="21"/>
      <c r="AVX1" s="21"/>
      <c r="AVY1" s="21"/>
      <c r="AVZ1" s="21"/>
      <c r="AWA1" s="21"/>
      <c r="AWB1" s="21"/>
      <c r="AWC1" s="21"/>
      <c r="AWD1" s="21"/>
      <c r="AWE1" s="21"/>
      <c r="AWF1" s="21"/>
      <c r="AWG1" s="21"/>
      <c r="AWH1" s="21"/>
      <c r="AWI1" s="21"/>
      <c r="AWJ1" s="21"/>
      <c r="AWK1" s="21"/>
      <c r="AWL1" s="21"/>
      <c r="AWM1" s="21"/>
      <c r="AWN1" s="21"/>
      <c r="AWO1" s="21"/>
      <c r="AWP1" s="21"/>
      <c r="AWQ1" s="21"/>
      <c r="AWR1" s="21"/>
      <c r="AWS1" s="21"/>
      <c r="AWT1" s="21"/>
      <c r="AWU1" s="21"/>
      <c r="AWV1" s="21"/>
      <c r="AWW1" s="21"/>
      <c r="AWX1" s="21"/>
      <c r="AWY1" s="21"/>
      <c r="AWZ1" s="21"/>
      <c r="AXA1" s="21"/>
      <c r="AXB1" s="21"/>
      <c r="AXC1" s="21"/>
      <c r="AXD1" s="21"/>
      <c r="AXE1" s="21"/>
      <c r="AXF1" s="21"/>
      <c r="AXG1" s="21"/>
      <c r="AXH1" s="21"/>
      <c r="AXI1" s="21"/>
      <c r="AXJ1" s="21"/>
      <c r="AXK1" s="21"/>
      <c r="AXL1" s="21"/>
      <c r="AXM1" s="21"/>
      <c r="AXN1" s="21"/>
      <c r="AXO1" s="21"/>
      <c r="AXP1" s="21"/>
      <c r="AXQ1" s="21"/>
      <c r="AXR1" s="21"/>
      <c r="AXS1" s="21"/>
      <c r="AXT1" s="21"/>
      <c r="AXU1" s="21"/>
      <c r="AXV1" s="21"/>
      <c r="AXW1" s="21"/>
      <c r="AXX1" s="21"/>
      <c r="AXY1" s="21"/>
      <c r="AXZ1" s="21"/>
      <c r="AYA1" s="21"/>
      <c r="AYB1" s="21"/>
      <c r="AYC1" s="21"/>
      <c r="AYD1" s="21"/>
      <c r="AYE1" s="21"/>
      <c r="AYF1" s="21"/>
      <c r="AYG1" s="21"/>
      <c r="AYH1" s="21"/>
      <c r="AYI1" s="21"/>
      <c r="AYJ1" s="21"/>
      <c r="AYK1" s="21"/>
      <c r="AYL1" s="21"/>
      <c r="AYM1" s="21"/>
      <c r="AYN1" s="21"/>
      <c r="AYO1" s="21"/>
      <c r="AYP1" s="21"/>
      <c r="AYQ1" s="21"/>
      <c r="AYR1" s="21"/>
      <c r="AYS1" s="21"/>
      <c r="AYT1" s="21"/>
      <c r="AYU1" s="21"/>
      <c r="AYV1" s="21"/>
      <c r="AYW1" s="21"/>
      <c r="AYX1" s="21"/>
      <c r="AYY1" s="21"/>
      <c r="AYZ1" s="21"/>
      <c r="AZA1" s="21"/>
      <c r="AZB1" s="21"/>
      <c r="AZC1" s="21"/>
      <c r="AZD1" s="21"/>
      <c r="AZE1" s="21"/>
      <c r="AZF1" s="21"/>
      <c r="AZG1" s="21"/>
      <c r="AZH1" s="21"/>
      <c r="AZI1" s="21"/>
      <c r="AZJ1" s="21"/>
      <c r="AZK1" s="21"/>
      <c r="AZL1" s="21"/>
      <c r="AZM1" s="21"/>
      <c r="AZN1" s="21"/>
      <c r="AZO1" s="21"/>
      <c r="AZP1" s="21"/>
      <c r="AZQ1" s="21"/>
      <c r="AZR1" s="21"/>
      <c r="AZS1" s="21"/>
      <c r="AZT1" s="21"/>
      <c r="AZU1" s="21"/>
      <c r="AZV1" s="21"/>
      <c r="AZW1" s="21"/>
      <c r="AZX1" s="21"/>
      <c r="AZY1" s="21"/>
      <c r="AZZ1" s="21"/>
      <c r="BAA1" s="21"/>
      <c r="BAB1" s="21"/>
      <c r="BAC1" s="21"/>
      <c r="BAD1" s="21"/>
      <c r="BAE1" s="21"/>
      <c r="BAF1" s="21"/>
      <c r="BAG1" s="21"/>
      <c r="BAH1" s="21"/>
      <c r="BAI1" s="21"/>
      <c r="BAJ1" s="21"/>
      <c r="BAK1" s="21"/>
      <c r="BAL1" s="21"/>
      <c r="BAM1" s="21"/>
      <c r="BAN1" s="21"/>
      <c r="BAO1" s="21"/>
      <c r="BAP1" s="21"/>
      <c r="BAQ1" s="21"/>
      <c r="BAR1" s="21"/>
      <c r="BAS1" s="21"/>
      <c r="BAT1" s="21"/>
      <c r="BAU1" s="21"/>
      <c r="BAV1" s="21"/>
      <c r="BAW1" s="21"/>
      <c r="BAX1" s="21"/>
      <c r="BAY1" s="21"/>
      <c r="BAZ1" s="21"/>
      <c r="BBA1" s="21"/>
      <c r="BBB1" s="21"/>
      <c r="BBC1" s="21"/>
      <c r="BBD1" s="21"/>
      <c r="BBE1" s="21"/>
      <c r="BBF1" s="21"/>
      <c r="BBG1" s="21"/>
      <c r="BBH1" s="21"/>
      <c r="BBI1" s="21"/>
      <c r="BBJ1" s="21"/>
      <c r="BBK1" s="21"/>
      <c r="BBL1" s="21"/>
      <c r="BBM1" s="21"/>
      <c r="BBN1" s="21"/>
      <c r="BBO1" s="21"/>
      <c r="BBP1" s="21"/>
      <c r="BBQ1" s="21"/>
      <c r="BBR1" s="21"/>
      <c r="BBS1" s="21"/>
      <c r="BBT1" s="21"/>
      <c r="BBU1" s="21"/>
      <c r="BBV1" s="21"/>
      <c r="BBW1" s="21"/>
      <c r="BBX1" s="21"/>
      <c r="BBY1" s="21"/>
      <c r="BBZ1" s="21"/>
      <c r="BCA1" s="21"/>
      <c r="BCB1" s="21"/>
      <c r="BCC1" s="21"/>
      <c r="BCD1" s="21"/>
      <c r="BCE1" s="21"/>
      <c r="BCF1" s="21"/>
      <c r="BCG1" s="21"/>
      <c r="BCH1" s="21"/>
      <c r="BCI1" s="21"/>
      <c r="BCJ1" s="21"/>
      <c r="BCK1" s="21"/>
      <c r="BCL1" s="21"/>
      <c r="BCM1" s="21"/>
      <c r="BCN1" s="21"/>
      <c r="BCO1" s="21"/>
      <c r="BCP1" s="21"/>
      <c r="BCQ1" s="21"/>
      <c r="BCR1" s="21"/>
      <c r="BCS1" s="21"/>
      <c r="BCT1" s="21"/>
      <c r="BCU1" s="21"/>
      <c r="BCV1" s="21"/>
      <c r="BCW1" s="21"/>
      <c r="BCX1" s="21"/>
      <c r="BCY1" s="21"/>
      <c r="BCZ1" s="21"/>
      <c r="BDA1" s="21"/>
      <c r="BDB1" s="21"/>
      <c r="BDC1" s="21"/>
      <c r="BDD1" s="21"/>
      <c r="BDE1" s="21"/>
      <c r="BDF1" s="21"/>
      <c r="BDG1" s="21"/>
      <c r="BDH1" s="21"/>
      <c r="BDI1" s="21"/>
      <c r="BDJ1" s="21"/>
      <c r="BDK1" s="21"/>
      <c r="BDL1" s="21"/>
      <c r="BDM1" s="21"/>
      <c r="BDN1" s="21"/>
      <c r="BDO1" s="21"/>
      <c r="BDP1" s="21"/>
      <c r="BDQ1" s="21"/>
      <c r="BDR1" s="21"/>
      <c r="BDS1" s="21"/>
      <c r="BDT1" s="21"/>
      <c r="BDU1" s="21"/>
      <c r="BDV1" s="21"/>
      <c r="BDW1" s="21"/>
      <c r="BDX1" s="21"/>
      <c r="BDY1" s="21"/>
      <c r="BDZ1" s="21"/>
      <c r="BEA1" s="21"/>
      <c r="BEB1" s="21"/>
      <c r="BEC1" s="21"/>
      <c r="BED1" s="21"/>
      <c r="BEE1" s="21"/>
      <c r="BEF1" s="21"/>
      <c r="BEG1" s="21"/>
      <c r="BEH1" s="21"/>
      <c r="BEI1" s="21"/>
      <c r="BEJ1" s="21"/>
      <c r="BEK1" s="21"/>
      <c r="BEL1" s="21"/>
      <c r="BEM1" s="21"/>
      <c r="BEN1" s="21"/>
      <c r="BEO1" s="21"/>
      <c r="BEP1" s="21"/>
      <c r="BEQ1" s="21"/>
      <c r="BER1" s="21"/>
      <c r="BES1" s="20" t="s">
        <v>67</v>
      </c>
      <c r="BET1" s="20" t="s">
        <v>26</v>
      </c>
      <c r="BEU1" s="20" t="s">
        <v>27</v>
      </c>
      <c r="BEV1" s="21" t="s">
        <v>28</v>
      </c>
      <c r="BEW1" s="20" t="s">
        <v>29</v>
      </c>
      <c r="BEX1" s="21" t="s">
        <v>65</v>
      </c>
      <c r="BEY1" s="21"/>
      <c r="BEZ1" s="21"/>
      <c r="BFA1" s="21"/>
      <c r="BFB1" s="21"/>
      <c r="BFC1" s="21"/>
      <c r="BFD1" s="21"/>
      <c r="BFE1" s="21"/>
      <c r="BFF1" s="21"/>
      <c r="BFG1" s="21"/>
      <c r="BFH1" s="21"/>
      <c r="BFI1" s="21"/>
      <c r="BFJ1" s="21"/>
      <c r="BFK1" s="21"/>
      <c r="BFL1" s="21"/>
      <c r="BFM1" s="21"/>
      <c r="BFN1" s="21"/>
      <c r="BFO1" s="21"/>
      <c r="BFP1" s="21"/>
      <c r="BFQ1" s="21"/>
      <c r="BFR1" s="21"/>
      <c r="BFS1" s="21"/>
      <c r="BFT1" s="21"/>
      <c r="BFU1" s="21"/>
      <c r="BFV1" s="21"/>
      <c r="BFW1" s="21"/>
      <c r="BFX1" s="21"/>
      <c r="BFY1" s="21"/>
      <c r="BFZ1" s="21"/>
      <c r="BGA1" s="21"/>
      <c r="BGB1" s="21"/>
      <c r="BGC1" s="21"/>
      <c r="BGD1" s="21"/>
      <c r="BGE1" s="21"/>
      <c r="BGF1" s="21"/>
      <c r="BGG1" s="21"/>
      <c r="BGH1" s="21"/>
      <c r="BGI1" s="21"/>
      <c r="BGJ1" s="21"/>
      <c r="BGK1" s="21"/>
      <c r="BGL1" s="21"/>
      <c r="BGM1" s="21"/>
      <c r="BGN1" s="21"/>
      <c r="BGO1" s="21"/>
      <c r="BGP1" s="21"/>
      <c r="BGQ1" s="21"/>
      <c r="BGR1" s="21"/>
      <c r="BGS1" s="21"/>
      <c r="BGT1" s="21"/>
      <c r="BGU1" s="21"/>
      <c r="BGV1" s="21"/>
      <c r="BGW1" s="21"/>
      <c r="BGX1" s="21"/>
      <c r="BGY1" s="21"/>
      <c r="BGZ1" s="21"/>
      <c r="BHA1" s="21"/>
      <c r="BHB1" s="21"/>
      <c r="BHC1" s="21"/>
      <c r="BHD1" s="21"/>
      <c r="BHE1" s="21"/>
      <c r="BHF1" s="21"/>
      <c r="BHG1" s="21"/>
      <c r="BHH1" s="21"/>
      <c r="BHI1" s="21"/>
      <c r="BHJ1" s="21"/>
      <c r="BHK1" s="21"/>
      <c r="BHL1" s="21"/>
      <c r="BHM1" s="21"/>
      <c r="BHN1" s="21"/>
      <c r="BHO1" s="21"/>
      <c r="BHP1" s="21"/>
      <c r="BHQ1" s="21"/>
      <c r="BHR1" s="21"/>
      <c r="BHS1" s="21"/>
      <c r="BHT1" s="21"/>
      <c r="BHU1" s="21"/>
      <c r="BHV1" s="21"/>
      <c r="BHW1" s="21"/>
      <c r="BHX1" s="21"/>
      <c r="BHY1" s="21"/>
      <c r="BHZ1" s="21"/>
      <c r="BIA1" s="21"/>
      <c r="BIB1" s="21"/>
      <c r="BIC1" s="21"/>
      <c r="BID1" s="21"/>
      <c r="BIE1" s="21"/>
      <c r="BIF1" s="21"/>
      <c r="BIG1" s="21"/>
      <c r="BIH1" s="21"/>
      <c r="BII1" s="21"/>
      <c r="BIJ1" s="21"/>
      <c r="BIK1" s="21"/>
      <c r="BIL1" s="21"/>
      <c r="BIM1" s="21"/>
      <c r="BIN1" s="21"/>
      <c r="BIO1" s="20" t="s">
        <v>68</v>
      </c>
      <c r="BIP1" s="20" t="s">
        <v>12</v>
      </c>
      <c r="BIQ1" s="20" t="s">
        <v>69</v>
      </c>
      <c r="BIR1" s="20" t="s">
        <v>70</v>
      </c>
      <c r="BIS1" s="21" t="s">
        <v>71</v>
      </c>
      <c r="BIT1" s="20" t="s">
        <v>72</v>
      </c>
      <c r="BIU1" s="20" t="s">
        <v>73</v>
      </c>
      <c r="BIV1" s="20" t="s">
        <v>74</v>
      </c>
      <c r="BIW1" s="20" t="s">
        <v>16</v>
      </c>
      <c r="BIX1" s="20" t="s">
        <v>17</v>
      </c>
      <c r="BIY1" s="22" t="s">
        <v>75</v>
      </c>
      <c r="BIZ1" s="22" t="s">
        <v>76</v>
      </c>
      <c r="BJA1" s="22" t="s">
        <v>77</v>
      </c>
      <c r="BJB1" s="22" t="s">
        <v>78</v>
      </c>
      <c r="BJC1" s="23" t="s">
        <v>79</v>
      </c>
      <c r="BJD1" s="20" t="s">
        <v>80</v>
      </c>
      <c r="BJE1" s="20" t="s">
        <v>81</v>
      </c>
      <c r="BJF1" s="20" t="s">
        <v>82</v>
      </c>
      <c r="BJG1" s="20" t="s">
        <v>26</v>
      </c>
      <c r="BJH1" s="20" t="s">
        <v>27</v>
      </c>
      <c r="BJI1" s="20" t="s">
        <v>28</v>
      </c>
      <c r="BJJ1" s="20" t="s">
        <v>29</v>
      </c>
      <c r="BJK1" s="21" t="s">
        <v>83</v>
      </c>
      <c r="BJL1" s="21" t="s">
        <v>84</v>
      </c>
      <c r="BJM1" s="21"/>
      <c r="BJN1" s="21"/>
      <c r="BJO1" s="21"/>
      <c r="BJP1" s="21"/>
      <c r="BJQ1" s="21"/>
      <c r="BJR1" s="21"/>
      <c r="BJS1" s="21"/>
      <c r="BJT1" s="21"/>
      <c r="BJU1" s="21"/>
      <c r="BJV1" s="21"/>
      <c r="BJW1" s="21"/>
      <c r="BJX1" s="21"/>
      <c r="BJY1" s="21"/>
      <c r="BJZ1" s="21"/>
      <c r="BKA1" s="21"/>
      <c r="BKB1" s="21"/>
      <c r="BKC1" s="21"/>
      <c r="BKD1" s="21"/>
      <c r="BKE1" s="21"/>
      <c r="BKF1" s="21"/>
      <c r="BKG1" s="21"/>
      <c r="BKH1" s="21"/>
      <c r="BKI1" s="21"/>
      <c r="BKJ1" s="21"/>
      <c r="BKK1" s="21"/>
      <c r="BKL1" s="21"/>
      <c r="BKM1" s="21"/>
      <c r="BKN1" s="21"/>
      <c r="BKO1" s="21"/>
      <c r="BKP1" s="21"/>
      <c r="BKQ1" s="21"/>
      <c r="BKR1" s="21"/>
      <c r="BKS1" s="21"/>
      <c r="BKT1" s="21"/>
      <c r="BKU1" s="21"/>
      <c r="BKV1" s="21"/>
      <c r="BKW1" s="21"/>
      <c r="BKX1" s="21"/>
      <c r="BKY1" s="21"/>
      <c r="BKZ1" s="21"/>
      <c r="BLA1" s="21"/>
      <c r="BLB1" s="21"/>
      <c r="BLC1" s="21"/>
      <c r="BLD1" s="21"/>
      <c r="BLE1" s="21"/>
      <c r="BLF1" s="21"/>
      <c r="BLG1" s="21"/>
      <c r="BLH1" s="21"/>
      <c r="BLI1" s="21"/>
      <c r="BLJ1" s="21"/>
      <c r="BLK1" s="21"/>
      <c r="BLL1" s="21"/>
      <c r="BLM1" s="21"/>
      <c r="BLN1" s="21"/>
      <c r="BLO1" s="21"/>
      <c r="BLP1" s="21"/>
      <c r="BLQ1" s="21"/>
      <c r="BLR1" s="21"/>
      <c r="BLS1" s="21"/>
      <c r="BLT1" s="21"/>
      <c r="BLU1" s="21"/>
      <c r="BLV1" s="21"/>
      <c r="BLW1" s="21"/>
      <c r="BLX1" s="21"/>
      <c r="BLY1" s="21"/>
      <c r="BLZ1" s="21"/>
      <c r="BMA1" s="21"/>
      <c r="BMB1" s="21"/>
      <c r="BMC1" s="21"/>
      <c r="BMD1" s="21"/>
      <c r="BME1" s="21"/>
      <c r="BMF1" s="21"/>
      <c r="BMG1" s="21"/>
      <c r="BMH1" s="21"/>
      <c r="BMI1" s="21"/>
      <c r="BMJ1" s="21"/>
      <c r="BMK1" s="21"/>
      <c r="BML1" s="21"/>
      <c r="BMM1" s="21"/>
      <c r="BMN1" s="21"/>
      <c r="BMO1" s="21"/>
      <c r="BMP1" s="21"/>
      <c r="BMQ1" s="21"/>
      <c r="BMR1" s="21"/>
      <c r="BMS1" s="21"/>
      <c r="BMT1" s="21"/>
      <c r="BMU1" s="21"/>
      <c r="BMV1" s="21"/>
      <c r="BMW1" s="21"/>
      <c r="BMX1" s="21"/>
      <c r="BMY1" s="21"/>
      <c r="BMZ1" s="21"/>
      <c r="BNA1" s="21"/>
      <c r="BNB1" s="21"/>
      <c r="BNC1" s="21"/>
      <c r="BND1" s="21"/>
      <c r="BNE1" s="21"/>
      <c r="BNF1" s="21"/>
      <c r="BNG1" s="21"/>
      <c r="BNH1" s="21"/>
      <c r="BNI1" s="21"/>
      <c r="BNJ1" s="21"/>
      <c r="BNK1" s="21"/>
      <c r="BNL1" s="21"/>
      <c r="BNM1" s="21"/>
      <c r="BNN1" s="21"/>
      <c r="BNO1" s="21"/>
      <c r="BNP1" s="21"/>
      <c r="BNQ1" s="21"/>
      <c r="BNR1" s="21"/>
      <c r="BNS1" s="21"/>
      <c r="BNT1" s="21"/>
      <c r="BNU1" s="21"/>
      <c r="BNV1" s="21"/>
      <c r="BNW1" s="21"/>
      <c r="BNX1" s="21"/>
      <c r="BNY1" s="21"/>
      <c r="BNZ1" s="21"/>
      <c r="BOA1" s="21"/>
      <c r="BOB1" s="21"/>
      <c r="BOC1" s="21"/>
      <c r="BOD1" s="21"/>
      <c r="BOE1" s="21"/>
      <c r="BOF1" s="21"/>
      <c r="BOG1" s="21"/>
      <c r="BOH1" s="21"/>
      <c r="BOI1" s="21"/>
      <c r="BOJ1" s="21"/>
      <c r="BOK1" s="21"/>
      <c r="BOL1" s="21"/>
      <c r="BOM1" s="21"/>
      <c r="BON1" s="21"/>
      <c r="BOO1" s="21"/>
      <c r="BOP1" s="21"/>
      <c r="BOQ1" s="21"/>
      <c r="BOR1" s="21"/>
      <c r="BOS1" s="21"/>
      <c r="BOT1" s="21"/>
      <c r="BOU1" s="21"/>
      <c r="BOV1" s="21"/>
      <c r="BOW1" s="21"/>
      <c r="BOX1" s="21"/>
      <c r="BOY1" s="21"/>
      <c r="BOZ1" s="21"/>
      <c r="BPA1" s="21"/>
      <c r="BPB1" s="21"/>
      <c r="BPC1" s="21"/>
      <c r="BPD1" s="21"/>
      <c r="BPE1" s="21"/>
      <c r="BPF1" s="21"/>
      <c r="BPG1" s="21"/>
      <c r="BPH1" s="21"/>
      <c r="BPI1" s="21"/>
      <c r="BPJ1" s="21"/>
      <c r="BPK1" s="21"/>
      <c r="BPL1" s="21"/>
      <c r="BPM1" s="21"/>
      <c r="BPN1" s="21"/>
      <c r="BPO1" s="21"/>
      <c r="BPP1" s="21"/>
      <c r="BPQ1" s="21"/>
      <c r="BPR1" s="21"/>
      <c r="BPS1" s="21"/>
      <c r="BPT1" s="21"/>
      <c r="BPU1" s="21"/>
      <c r="BPV1" s="21"/>
      <c r="BPW1" s="21"/>
      <c r="BPX1" s="21"/>
      <c r="BPY1" s="21"/>
      <c r="BPZ1" s="21"/>
      <c r="BQA1" s="21"/>
      <c r="BQB1" s="21"/>
      <c r="BQC1" s="21"/>
      <c r="BQD1" s="21"/>
      <c r="BQE1" s="21"/>
      <c r="BQF1" s="21"/>
      <c r="BQG1" s="21"/>
      <c r="BQH1" s="21"/>
      <c r="BQI1" s="21"/>
      <c r="BQJ1" s="21"/>
      <c r="BQK1" s="21"/>
      <c r="BQL1" s="21"/>
      <c r="BQM1" s="21"/>
      <c r="BQN1" s="21"/>
      <c r="BQO1" s="21"/>
      <c r="BQP1" s="21"/>
      <c r="BQQ1" s="21"/>
      <c r="BQR1" s="21"/>
      <c r="BQS1" s="21"/>
      <c r="BQT1" s="21"/>
      <c r="BQU1" s="21"/>
      <c r="BQV1" s="21"/>
      <c r="BQW1" s="21"/>
      <c r="BQX1" s="21"/>
      <c r="BQY1" s="21"/>
      <c r="BQZ1" s="21"/>
      <c r="BRA1" s="21"/>
      <c r="BRB1" s="21"/>
      <c r="BRC1" s="21"/>
      <c r="BRD1" s="21"/>
      <c r="BRE1" s="21"/>
      <c r="BRF1" s="21"/>
      <c r="BRG1" s="21"/>
      <c r="BRH1" s="21"/>
      <c r="BRI1" s="21"/>
      <c r="BRJ1" s="21"/>
      <c r="BRK1" s="21"/>
      <c r="BRL1" s="21"/>
      <c r="BRM1" s="21"/>
      <c r="BRN1" s="21"/>
      <c r="BRO1" s="21"/>
      <c r="BRP1" s="21"/>
      <c r="BRQ1" s="21"/>
      <c r="BRR1" s="21"/>
      <c r="BRS1" s="21"/>
      <c r="BRT1" s="21"/>
      <c r="BRU1" s="21"/>
      <c r="BRV1" s="21"/>
      <c r="BRW1" s="21"/>
      <c r="BRX1" s="21"/>
      <c r="BRY1" s="21"/>
      <c r="BRZ1" s="21"/>
      <c r="BSA1" s="21"/>
      <c r="BSB1" s="21"/>
      <c r="BSC1" s="21"/>
      <c r="BSD1" s="21"/>
      <c r="BSE1" s="21"/>
      <c r="BSF1" s="21"/>
      <c r="BSG1" s="21"/>
      <c r="BSH1" s="21"/>
      <c r="BSI1" s="21"/>
      <c r="BSJ1" s="21"/>
      <c r="BSK1" s="21"/>
      <c r="BSL1" s="21"/>
      <c r="BSM1" s="21"/>
      <c r="BSN1" s="21"/>
      <c r="BSO1" s="21"/>
      <c r="BSP1" s="21"/>
      <c r="BSQ1" s="21"/>
      <c r="BSR1" s="21"/>
      <c r="BSS1" s="21"/>
      <c r="BST1" s="21"/>
      <c r="BSU1" s="21"/>
      <c r="BSV1" s="21"/>
      <c r="BSW1" s="21"/>
      <c r="BSX1" s="21"/>
      <c r="BSY1" s="21"/>
      <c r="BSZ1" s="21"/>
      <c r="BTA1" s="21"/>
      <c r="BTB1" s="21"/>
      <c r="BTC1" s="21"/>
      <c r="BTD1" s="21"/>
      <c r="BTE1" s="21"/>
      <c r="BTF1" s="21"/>
      <c r="BTG1" s="21"/>
      <c r="BTH1" s="21"/>
      <c r="BTI1" s="21"/>
      <c r="BTJ1" s="21"/>
      <c r="BTK1" s="21"/>
      <c r="BTL1" s="21"/>
      <c r="BTM1" s="21"/>
      <c r="BTN1" s="21"/>
      <c r="BTO1" s="21"/>
      <c r="BTP1" s="21"/>
      <c r="BTQ1" s="21"/>
      <c r="BTR1" s="21"/>
      <c r="BTS1" s="21"/>
      <c r="BTT1" s="21"/>
      <c r="BTU1" s="21"/>
      <c r="BTV1" s="21"/>
      <c r="BTW1" s="21"/>
      <c r="BTX1" s="21"/>
      <c r="BTY1" s="21"/>
      <c r="BTZ1" s="21"/>
      <c r="BUA1" s="21"/>
      <c r="BUB1" s="21"/>
      <c r="BUC1" s="20" t="s">
        <v>85</v>
      </c>
      <c r="BUD1" s="20" t="s">
        <v>26</v>
      </c>
      <c r="BUE1" s="20" t="s">
        <v>27</v>
      </c>
      <c r="BUF1" s="21" t="s">
        <v>28</v>
      </c>
      <c r="BUG1" s="20" t="s">
        <v>29</v>
      </c>
      <c r="BUH1" s="21"/>
      <c r="BUI1" s="21"/>
      <c r="BUJ1" s="21"/>
      <c r="BUK1" s="21"/>
      <c r="BUL1" s="21"/>
      <c r="BUM1" s="21"/>
      <c r="BUN1" s="21"/>
      <c r="BUO1" s="21"/>
      <c r="BUP1" s="21"/>
      <c r="BUQ1" s="21"/>
      <c r="BUR1" s="21"/>
      <c r="BUS1" s="21"/>
      <c r="BUT1" s="21"/>
      <c r="BUU1" s="21"/>
      <c r="BUV1" s="21"/>
      <c r="BUW1" s="21"/>
      <c r="BUX1" s="21"/>
      <c r="BUY1" s="21"/>
      <c r="BUZ1" s="21"/>
      <c r="BVA1" s="21"/>
      <c r="BVB1" s="21"/>
      <c r="BVC1" s="21"/>
      <c r="BVD1" s="21"/>
      <c r="BVE1" s="21"/>
      <c r="BVF1" s="21"/>
      <c r="BVG1" s="21"/>
      <c r="BVH1" s="21"/>
      <c r="BVI1" s="21"/>
      <c r="BVJ1" s="21"/>
      <c r="BVK1" s="21"/>
      <c r="BVL1" s="21"/>
      <c r="BVM1" s="21"/>
      <c r="BVN1" s="21"/>
      <c r="BVO1" s="21"/>
      <c r="BVP1" s="21"/>
      <c r="BVQ1" s="21"/>
      <c r="BVR1" s="21"/>
      <c r="BVS1" s="21"/>
      <c r="BVT1" s="21"/>
      <c r="BVU1" s="21"/>
      <c r="BVV1" s="21"/>
      <c r="BVW1" s="21"/>
      <c r="BVX1" s="21"/>
      <c r="BVY1" s="21"/>
      <c r="BVZ1" s="21"/>
      <c r="BWA1" s="21"/>
      <c r="BWB1" s="21"/>
      <c r="BWC1" s="21"/>
      <c r="BWD1" s="21"/>
      <c r="BWE1" s="21"/>
      <c r="BWF1" s="21"/>
      <c r="BWG1" s="21"/>
      <c r="BWH1" s="21"/>
      <c r="BWI1" s="21"/>
      <c r="BWJ1" s="21"/>
      <c r="BWK1" s="21"/>
      <c r="BWL1" s="21"/>
      <c r="BWM1" s="21"/>
      <c r="BWN1" s="21"/>
      <c r="BWO1" s="21"/>
      <c r="BWP1" s="21"/>
      <c r="BWQ1" s="21"/>
      <c r="BWR1" s="21"/>
      <c r="BWS1" s="21"/>
      <c r="BWT1" s="21"/>
      <c r="BWU1" s="21"/>
      <c r="BWV1" s="21"/>
      <c r="BWW1" s="21"/>
      <c r="BWX1" s="21"/>
      <c r="BWY1" s="21"/>
      <c r="BWZ1" s="21"/>
      <c r="BXA1" s="21"/>
      <c r="BXB1" s="21"/>
      <c r="BXC1" s="21"/>
      <c r="BXD1" s="21"/>
      <c r="BXE1" s="21"/>
      <c r="BXF1" s="21"/>
      <c r="BXG1" s="21"/>
      <c r="BXH1" s="21"/>
      <c r="BXI1" s="21"/>
      <c r="BXJ1" s="21"/>
      <c r="BXK1" s="21"/>
      <c r="BXL1" s="21"/>
      <c r="BXM1" s="21"/>
      <c r="BXN1" s="21"/>
      <c r="BXO1" s="21"/>
      <c r="BXP1" s="21"/>
      <c r="BXQ1" s="21"/>
      <c r="BXR1" s="21"/>
      <c r="BXS1" s="21"/>
      <c r="BXT1" s="21"/>
      <c r="BXU1" s="21"/>
      <c r="BXV1" s="21"/>
      <c r="BXW1" s="21"/>
      <c r="BXX1" s="21"/>
      <c r="BXY1" s="20" t="s">
        <v>86</v>
      </c>
      <c r="BXZ1" s="20" t="s">
        <v>26</v>
      </c>
      <c r="BYA1" s="20" t="s">
        <v>27</v>
      </c>
      <c r="BYB1" s="21" t="s">
        <v>28</v>
      </c>
      <c r="BYC1" s="20" t="s">
        <v>29</v>
      </c>
      <c r="BYD1" s="21" t="s">
        <v>87</v>
      </c>
      <c r="BYE1" s="21" t="s">
        <v>10</v>
      </c>
      <c r="BYF1" s="21" t="s">
        <v>88</v>
      </c>
      <c r="BYG1" s="21" t="s">
        <v>89</v>
      </c>
      <c r="BYH1" s="21" t="s">
        <v>90</v>
      </c>
      <c r="BYI1" s="21" t="s">
        <v>91</v>
      </c>
      <c r="BYJ1" s="21" t="s">
        <v>92</v>
      </c>
      <c r="BYK1" s="21"/>
      <c r="BYL1" s="21"/>
      <c r="BYM1" s="21"/>
      <c r="BYN1" s="21"/>
      <c r="BYO1" s="21"/>
      <c r="BYP1" s="21"/>
      <c r="BYQ1" s="21"/>
      <c r="BYR1" s="21"/>
      <c r="BYS1" s="21"/>
      <c r="BYT1" s="21"/>
      <c r="BYU1" s="21"/>
      <c r="BYV1" s="21"/>
      <c r="BYW1" s="21"/>
      <c r="BYX1" s="21"/>
      <c r="BYY1" s="21"/>
      <c r="BYZ1" s="21"/>
      <c r="BZA1" s="21"/>
      <c r="BZB1" s="21"/>
      <c r="BZC1" s="21"/>
      <c r="BZD1" s="21"/>
      <c r="BZE1" s="21"/>
      <c r="BZF1" s="21"/>
      <c r="BZG1" s="21"/>
      <c r="BZH1" s="21"/>
      <c r="BZI1" s="21"/>
      <c r="BZJ1" s="21"/>
      <c r="BZK1" s="21"/>
      <c r="BZL1" s="21"/>
      <c r="BZM1" s="21"/>
      <c r="BZN1" s="21"/>
      <c r="BZO1" s="21"/>
      <c r="BZP1" s="21"/>
      <c r="BZQ1" s="21"/>
      <c r="BZR1" s="21"/>
      <c r="BZS1" s="21"/>
      <c r="BZT1" s="21"/>
      <c r="BZU1" s="21"/>
      <c r="BZV1" s="21"/>
      <c r="BZW1" s="21"/>
      <c r="BZX1" s="21"/>
      <c r="BZY1" s="21"/>
      <c r="BZZ1" s="21"/>
      <c r="CAA1" s="21"/>
      <c r="CAB1" s="21"/>
      <c r="CAC1" s="21"/>
      <c r="CAD1" s="21"/>
      <c r="CAE1" s="21"/>
      <c r="CAF1" s="21"/>
      <c r="CAG1" s="21"/>
      <c r="CAH1" s="21"/>
      <c r="CAI1" s="21"/>
      <c r="CAJ1" s="21"/>
      <c r="CAK1" s="21"/>
      <c r="CAL1" s="21"/>
      <c r="CAM1" s="21"/>
      <c r="CAN1" s="21"/>
      <c r="CAO1" s="21"/>
      <c r="CAP1" s="21"/>
      <c r="CAQ1" s="21"/>
      <c r="CAR1" s="21"/>
      <c r="CAS1" s="21"/>
      <c r="CAT1" s="21"/>
      <c r="CAU1" s="21"/>
      <c r="CAV1" s="21"/>
      <c r="CAW1" s="21"/>
      <c r="CAX1" s="21"/>
      <c r="CAY1" s="21"/>
      <c r="CAZ1" s="21"/>
      <c r="CBA1" s="21"/>
      <c r="CBB1" s="21"/>
      <c r="CBC1" s="21"/>
      <c r="CBD1" s="21"/>
      <c r="CBE1" s="21"/>
      <c r="CBF1" s="21"/>
      <c r="CBG1" s="21"/>
      <c r="CBH1" s="21"/>
      <c r="CBI1" s="21"/>
      <c r="CBJ1" s="21"/>
      <c r="CBK1" s="21"/>
      <c r="CBL1" s="21"/>
      <c r="CBM1" s="21"/>
      <c r="CBN1" s="21"/>
      <c r="CBO1" s="21"/>
      <c r="CBP1" s="21"/>
      <c r="CBQ1" s="21"/>
      <c r="CBR1" s="21"/>
      <c r="CBS1" s="21"/>
      <c r="CBT1" s="21"/>
      <c r="CBU1" s="20" t="s">
        <v>93</v>
      </c>
      <c r="CBV1" s="20" t="s">
        <v>26</v>
      </c>
      <c r="CBW1" s="20" t="s">
        <v>27</v>
      </c>
      <c r="CBX1" s="21" t="s">
        <v>28</v>
      </c>
      <c r="CBY1" s="20" t="s">
        <v>29</v>
      </c>
      <c r="CBZ1" s="21"/>
      <c r="CCA1" s="21"/>
      <c r="CCB1" s="21"/>
      <c r="CCC1" s="21"/>
      <c r="CFQ1" s="20" t="s">
        <v>94</v>
      </c>
      <c r="CFR1" s="20" t="s">
        <v>26</v>
      </c>
      <c r="CFS1" s="20" t="s">
        <v>27</v>
      </c>
      <c r="CFT1" s="21" t="s">
        <v>28</v>
      </c>
      <c r="CFU1" s="20" t="s">
        <v>29</v>
      </c>
      <c r="CJM1" s="20" t="s">
        <v>95</v>
      </c>
      <c r="CJN1" s="20" t="s">
        <v>26</v>
      </c>
      <c r="CJO1" s="20" t="s">
        <v>27</v>
      </c>
      <c r="CJP1" s="21" t="s">
        <v>28</v>
      </c>
      <c r="CJQ1" s="20" t="s">
        <v>29</v>
      </c>
      <c r="CJR1" s="20" t="s">
        <v>96</v>
      </c>
      <c r="CJS1" s="21" t="s">
        <v>97</v>
      </c>
      <c r="CJT1" s="21" t="s">
        <v>98</v>
      </c>
      <c r="CJU1" s="21" t="s">
        <v>99</v>
      </c>
      <c r="CJV1" s="21" t="s">
        <v>100</v>
      </c>
      <c r="CJW1" s="21" t="s">
        <v>101</v>
      </c>
      <c r="CJX1" s="21" t="s">
        <v>102</v>
      </c>
      <c r="CJY1" s="21" t="s">
        <v>103</v>
      </c>
      <c r="CJZ1" s="21" t="s">
        <v>104</v>
      </c>
      <c r="CKA1" s="21" t="s">
        <v>105</v>
      </c>
      <c r="CKB1" s="21" t="s">
        <v>106</v>
      </c>
      <c r="CKC1" s="21" t="s">
        <v>107</v>
      </c>
      <c r="CKD1" s="21" t="s">
        <v>108</v>
      </c>
      <c r="CKE1" s="21" t="s">
        <v>109</v>
      </c>
      <c r="CKF1" s="21" t="s">
        <v>110</v>
      </c>
      <c r="CKG1" s="21" t="s">
        <v>111</v>
      </c>
      <c r="CKH1" s="21" t="s">
        <v>112</v>
      </c>
      <c r="CKI1" s="21" t="s">
        <v>113</v>
      </c>
      <c r="CKJ1" s="21" t="s">
        <v>114</v>
      </c>
      <c r="CKK1" s="21" t="s">
        <v>115</v>
      </c>
      <c r="CKL1" s="21" t="s">
        <v>116</v>
      </c>
      <c r="CKM1" s="21" t="s">
        <v>117</v>
      </c>
      <c r="CKN1" s="21" t="s">
        <v>118</v>
      </c>
      <c r="CKO1" s="21" t="s">
        <v>119</v>
      </c>
      <c r="CKP1" s="21" t="s">
        <v>120</v>
      </c>
      <c r="CKQ1" s="21" t="s">
        <v>121</v>
      </c>
      <c r="CKR1" s="21" t="s">
        <v>122</v>
      </c>
      <c r="CKS1" s="21" t="s">
        <v>123</v>
      </c>
      <c r="CKT1" s="21" t="s">
        <v>124</v>
      </c>
      <c r="CKU1" s="21" t="s">
        <v>125</v>
      </c>
      <c r="CKV1" s="21" t="s">
        <v>126</v>
      </c>
      <c r="CKW1" s="21" t="s">
        <v>127</v>
      </c>
      <c r="CKX1" s="21" t="s">
        <v>128</v>
      </c>
      <c r="CKY1" s="21" t="s">
        <v>129</v>
      </c>
      <c r="CKZ1" s="21" t="s">
        <v>130</v>
      </c>
      <c r="CLA1" s="21" t="s">
        <v>131</v>
      </c>
      <c r="CLB1" s="21" t="s">
        <v>132</v>
      </c>
      <c r="CLC1" s="21" t="s">
        <v>133</v>
      </c>
      <c r="CLD1" s="21" t="s">
        <v>134</v>
      </c>
      <c r="CLE1" s="21" t="s">
        <v>135</v>
      </c>
      <c r="CLF1" s="21" t="s">
        <v>136</v>
      </c>
      <c r="CLG1" s="21"/>
      <c r="CLH1" s="21"/>
      <c r="CLI1" s="21"/>
      <c r="CLJ1" s="21"/>
      <c r="CLK1" s="21"/>
      <c r="CLL1" s="21"/>
      <c r="CLM1" s="21"/>
      <c r="CNI1" s="20" t="s">
        <v>137</v>
      </c>
      <c r="CNJ1" s="20" t="s">
        <v>26</v>
      </c>
      <c r="CNK1" s="20" t="s">
        <v>27</v>
      </c>
      <c r="CNL1" s="21" t="s">
        <v>28</v>
      </c>
      <c r="CNM1" s="20" t="s">
        <v>29</v>
      </c>
      <c r="CNN1" s="23" t="s">
        <v>138</v>
      </c>
      <c r="CNO1" s="23" t="s">
        <v>139</v>
      </c>
      <c r="CNP1" s="23" t="s">
        <v>140</v>
      </c>
      <c r="CNQ1" s="23" t="s">
        <v>141</v>
      </c>
      <c r="CNR1" s="23" t="s">
        <v>142</v>
      </c>
      <c r="CNS1" s="23" t="s">
        <v>143</v>
      </c>
      <c r="CNT1" s="23" t="s">
        <v>144</v>
      </c>
      <c r="CNU1" s="23" t="s">
        <v>145</v>
      </c>
      <c r="CNV1" s="24" t="s">
        <v>146</v>
      </c>
      <c r="CNW1" s="21" t="s">
        <v>147</v>
      </c>
      <c r="CNX1" s="21" t="s">
        <v>148</v>
      </c>
      <c r="CNY1" s="21" t="s">
        <v>149</v>
      </c>
      <c r="CNZ1" s="21" t="s">
        <v>150</v>
      </c>
      <c r="COA1" s="21" t="s">
        <v>150</v>
      </c>
      <c r="COB1" s="21" t="s">
        <v>150</v>
      </c>
      <c r="CRE1" s="20" t="s">
        <v>151</v>
      </c>
      <c r="CRF1" s="20" t="s">
        <v>26</v>
      </c>
      <c r="CRG1" s="20" t="s">
        <v>27</v>
      </c>
      <c r="CRH1" s="21" t="s">
        <v>28</v>
      </c>
      <c r="CRI1" s="20" t="s">
        <v>29</v>
      </c>
      <c r="CRJ1" s="21" t="s">
        <v>97</v>
      </c>
      <c r="CRK1" s="21" t="s">
        <v>101</v>
      </c>
      <c r="CRL1" s="25" t="s">
        <v>79</v>
      </c>
      <c r="CRM1" s="25" t="s">
        <v>80</v>
      </c>
      <c r="CRO1" s="23"/>
      <c r="CRP1" s="23"/>
      <c r="CRQ1" s="23"/>
      <c r="CRR1" s="24"/>
      <c r="CRS1" s="21"/>
      <c r="CRT1" s="21"/>
      <c r="CRU1" s="21"/>
      <c r="CRV1" s="21"/>
      <c r="CRW1" s="21"/>
      <c r="CRX1" s="21"/>
      <c r="CVA1" s="20" t="s">
        <v>152</v>
      </c>
      <c r="CVB1" s="20" t="s">
        <v>26</v>
      </c>
      <c r="CVC1" s="20" t="s">
        <v>27</v>
      </c>
      <c r="CVD1" s="21" t="s">
        <v>28</v>
      </c>
      <c r="CVE1" s="20" t="s">
        <v>29</v>
      </c>
      <c r="CVF1" s="20" t="s">
        <v>153</v>
      </c>
      <c r="CVG1" s="20" t="s">
        <v>154</v>
      </c>
      <c r="CVH1" s="20" t="s">
        <v>155</v>
      </c>
      <c r="CVI1" s="20" t="s">
        <v>156</v>
      </c>
      <c r="CVJ1" s="20" t="s">
        <v>157</v>
      </c>
      <c r="CVK1" s="20" t="s">
        <v>158</v>
      </c>
      <c r="CVL1" s="21"/>
      <c r="CVM1" s="21"/>
      <c r="CVN1" s="21"/>
      <c r="CVO1" s="21"/>
      <c r="CVP1" s="21"/>
      <c r="CVQ1" s="21"/>
      <c r="CVR1" s="21"/>
      <c r="CVS1" s="21"/>
      <c r="CVT1" s="21"/>
      <c r="CVU1" s="21"/>
      <c r="CVV1" s="21"/>
      <c r="CVW1" s="21"/>
      <c r="CVX1" s="21"/>
      <c r="CVY1" s="21"/>
      <c r="CVZ1" s="21"/>
      <c r="CWA1" s="21"/>
      <c r="CWB1" s="21"/>
      <c r="CWC1" s="21"/>
      <c r="CWD1" s="21"/>
      <c r="CWE1" s="21"/>
      <c r="CWF1" s="21"/>
      <c r="CWG1" s="21"/>
      <c r="CWH1" s="21"/>
      <c r="CWI1" s="21"/>
      <c r="CWJ1" s="21"/>
      <c r="CWK1" s="21"/>
      <c r="CWL1" s="21"/>
      <c r="CWM1" s="21"/>
      <c r="CWN1" s="21"/>
      <c r="CWO1" s="21"/>
      <c r="CWP1" s="21"/>
      <c r="CWQ1" s="21"/>
      <c r="CWR1" s="21"/>
      <c r="CWS1" s="21"/>
      <c r="CWT1" s="21"/>
    </row>
    <row r="2" spans="1:2646" x14ac:dyDescent="0.35">
      <c r="A2" s="29" t="s">
        <v>159</v>
      </c>
      <c r="B2" s="29">
        <f>55</f>
        <v>55</v>
      </c>
      <c r="C2" s="29">
        <f>B2-F2</f>
        <v>55</v>
      </c>
      <c r="D2" s="29">
        <f>H2/50</f>
        <v>2</v>
      </c>
      <c r="E2" s="29">
        <f>1.5*H2-C2-D2</f>
        <v>93</v>
      </c>
      <c r="F2" s="29">
        <v>0</v>
      </c>
      <c r="G2" s="29">
        <v>100</v>
      </c>
      <c r="H2" s="29">
        <f>G2-F2</f>
        <v>100</v>
      </c>
      <c r="I2" s="29" t="s">
        <v>160</v>
      </c>
      <c r="J2" s="29">
        <v>0</v>
      </c>
      <c r="K2" s="29">
        <v>9</v>
      </c>
      <c r="L2" s="29">
        <v>15</v>
      </c>
      <c r="M2" s="29">
        <v>70</v>
      </c>
      <c r="N2" s="29">
        <v>30</v>
      </c>
      <c r="O2" s="29">
        <v>255</v>
      </c>
      <c r="P2" s="29">
        <v>65535</v>
      </c>
      <c r="Q2" s="29">
        <v>49152</v>
      </c>
      <c r="R2" s="29" t="s">
        <v>161</v>
      </c>
      <c r="S2" s="29" t="str">
        <f ca="1">SUBSTITUTE(MID(_xlfn.FORMULATEXT(V2),2,FIND("!",_xlfn.FORMULATEXT(V2),1)-2), "'","")</f>
        <v>#REF</v>
      </c>
      <c r="T2" s="29" t="e">
        <f ca="1" xml:space="preserve"> _xlfn.SHEET(#REF!)</f>
        <v>#REF!</v>
      </c>
      <c r="V2" s="29" t="e">
        <f>#REF!</f>
        <v>#REF!</v>
      </c>
      <c r="W2" s="29">
        <v>0</v>
      </c>
      <c r="X2" s="29" t="s">
        <v>31</v>
      </c>
      <c r="Y2" s="29">
        <v>13</v>
      </c>
      <c r="BB2" s="29">
        <v>3</v>
      </c>
      <c r="BC2" s="29">
        <v>430</v>
      </c>
      <c r="BD2" s="29" t="b">
        <v>0</v>
      </c>
      <c r="BE2" s="29">
        <f>E2</f>
        <v>93</v>
      </c>
      <c r="BF2" s="29">
        <f>D2</f>
        <v>2</v>
      </c>
      <c r="BG2" s="29">
        <f>C2</f>
        <v>55</v>
      </c>
      <c r="BK2" s="29">
        <v>0</v>
      </c>
      <c r="BL2" s="29">
        <v>0</v>
      </c>
      <c r="BM2" s="29">
        <v>0</v>
      </c>
    </row>
    <row r="3" spans="1:2646" x14ac:dyDescent="0.35">
      <c r="A3" s="29" t="s">
        <v>162</v>
      </c>
      <c r="B3" s="29">
        <f>55</f>
        <v>55</v>
      </c>
      <c r="C3" s="29">
        <f>B3-F3</f>
        <v>55</v>
      </c>
      <c r="D3" s="29">
        <f>H3/50</f>
        <v>2</v>
      </c>
      <c r="E3" s="29">
        <f>1.5*H3-C3-D3</f>
        <v>93</v>
      </c>
      <c r="F3" s="29">
        <v>0</v>
      </c>
      <c r="G3" s="29">
        <v>100</v>
      </c>
      <c r="H3" s="29">
        <f>G3-F3</f>
        <v>100</v>
      </c>
      <c r="I3" s="29" t="s">
        <v>160</v>
      </c>
      <c r="J3" s="29">
        <v>0</v>
      </c>
      <c r="K3" s="29">
        <v>9</v>
      </c>
      <c r="L3" s="29">
        <v>15</v>
      </c>
      <c r="M3" s="29">
        <v>70</v>
      </c>
      <c r="N3" s="29">
        <v>30</v>
      </c>
      <c r="O3" s="29">
        <v>255</v>
      </c>
      <c r="P3" s="29">
        <v>65535</v>
      </c>
      <c r="Q3" s="29">
        <v>49152</v>
      </c>
      <c r="R3" s="29" t="s">
        <v>163</v>
      </c>
      <c r="S3" s="29" t="str">
        <f ca="1">SUBSTITUTE(MID(_xlfn.FORMULATEXT(V3),2,FIND("!",_xlfn.FORMULATEXT(V3),1)-2), "'","")</f>
        <v>#REF</v>
      </c>
      <c r="T3" s="29" t="e">
        <f ca="1" xml:space="preserve"> _xlfn.SHEET(#REF!)</f>
        <v>#REF!</v>
      </c>
      <c r="V3" s="29" t="e">
        <f>#REF!</f>
        <v>#REF!</v>
      </c>
      <c r="W3" s="29">
        <v>0</v>
      </c>
      <c r="X3" s="29" t="s">
        <v>31</v>
      </c>
      <c r="Y3" s="29">
        <v>13</v>
      </c>
      <c r="BB3" s="29">
        <v>3</v>
      </c>
      <c r="BC3" s="29">
        <v>430</v>
      </c>
      <c r="BD3" s="29" t="b">
        <v>0</v>
      </c>
      <c r="BE3" s="29">
        <f>E3</f>
        <v>93</v>
      </c>
      <c r="BF3" s="29">
        <f>D3</f>
        <v>2</v>
      </c>
      <c r="BG3" s="29">
        <f>C3</f>
        <v>55</v>
      </c>
      <c r="BK3" s="29">
        <v>0</v>
      </c>
      <c r="BL3" s="29">
        <v>0</v>
      </c>
      <c r="BM3" s="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04BC-99E6-468D-B8E7-D037B1C6CB64}">
  <dimension ref="A1:M25"/>
  <sheetViews>
    <sheetView workbookViewId="0">
      <selection activeCell="F7" sqref="F7"/>
    </sheetView>
  </sheetViews>
  <sheetFormatPr defaultRowHeight="14.5" x14ac:dyDescent="0.35"/>
  <cols>
    <col min="2" max="2" width="4.81640625" bestFit="1" customWidth="1"/>
    <col min="3" max="3" width="9.90625" bestFit="1" customWidth="1"/>
    <col min="4" max="4" width="13" bestFit="1" customWidth="1"/>
    <col min="8" max="8" width="12.36328125" bestFit="1" customWidth="1"/>
    <col min="9" max="9" width="6.81640625" bestFit="1" customWidth="1"/>
    <col min="10" max="13" width="19.36328125" bestFit="1" customWidth="1"/>
    <col min="14" max="14" width="21.1796875" bestFit="1" customWidth="1"/>
    <col min="15" max="28" width="4.81640625" bestFit="1" customWidth="1"/>
    <col min="29" max="29" width="10.7265625" bestFit="1" customWidth="1"/>
  </cols>
  <sheetData>
    <row r="1" spans="1:13" x14ac:dyDescent="0.35">
      <c r="A1" s="5" t="s">
        <v>5</v>
      </c>
      <c r="B1" s="6" t="s">
        <v>4</v>
      </c>
      <c r="C1" s="6" t="s">
        <v>6</v>
      </c>
      <c r="D1" s="7" t="s">
        <v>7</v>
      </c>
      <c r="E1" s="32" t="s">
        <v>164</v>
      </c>
    </row>
    <row r="2" spans="1:13" x14ac:dyDescent="0.35">
      <c r="A2" s="8" t="s">
        <v>0</v>
      </c>
      <c r="B2" s="9">
        <v>2017</v>
      </c>
      <c r="C2" s="9">
        <v>1902</v>
      </c>
      <c r="D2" s="10">
        <v>1560</v>
      </c>
      <c r="E2">
        <f>IF(OR(A2="Product 1",A2="Product 3"),1,2)</f>
        <v>1</v>
      </c>
    </row>
    <row r="3" spans="1:13" x14ac:dyDescent="0.35">
      <c r="A3" s="11" t="s">
        <v>0</v>
      </c>
      <c r="B3">
        <v>2018</v>
      </c>
      <c r="C3">
        <v>3129</v>
      </c>
      <c r="D3" s="12">
        <v>2741</v>
      </c>
      <c r="E3">
        <f t="shared" ref="E3:E21" si="0">IF(OR(A3="Product 1",A3="Product 3"),1,2)</f>
        <v>1</v>
      </c>
      <c r="J3" s="1" t="s">
        <v>164</v>
      </c>
      <c r="K3" s="1" t="s">
        <v>10</v>
      </c>
    </row>
    <row r="4" spans="1:13" x14ac:dyDescent="0.35">
      <c r="A4" s="11" t="s">
        <v>0</v>
      </c>
      <c r="B4">
        <v>2019</v>
      </c>
      <c r="C4">
        <v>2630</v>
      </c>
      <c r="D4" s="12">
        <v>3041</v>
      </c>
      <c r="E4">
        <f t="shared" si="0"/>
        <v>1</v>
      </c>
      <c r="J4">
        <v>1</v>
      </c>
      <c r="L4">
        <v>2</v>
      </c>
    </row>
    <row r="5" spans="1:13" x14ac:dyDescent="0.35">
      <c r="A5" s="11" t="s">
        <v>0</v>
      </c>
      <c r="B5">
        <v>2020</v>
      </c>
      <c r="C5">
        <v>1718</v>
      </c>
      <c r="D5" s="12">
        <v>3115</v>
      </c>
      <c r="E5">
        <f t="shared" si="0"/>
        <v>1</v>
      </c>
      <c r="H5" s="1" t="s">
        <v>5</v>
      </c>
      <c r="I5" s="1" t="s">
        <v>4</v>
      </c>
      <c r="J5" t="s">
        <v>8</v>
      </c>
      <c r="K5" t="s">
        <v>9</v>
      </c>
      <c r="L5" t="s">
        <v>8</v>
      </c>
      <c r="M5" t="s">
        <v>9</v>
      </c>
    </row>
    <row r="6" spans="1:13" x14ac:dyDescent="0.35">
      <c r="A6" s="11" t="s">
        <v>0</v>
      </c>
      <c r="B6">
        <v>2021</v>
      </c>
      <c r="C6">
        <v>2681</v>
      </c>
      <c r="D6" s="12">
        <v>3100</v>
      </c>
      <c r="E6">
        <f t="shared" si="0"/>
        <v>1</v>
      </c>
      <c r="H6" t="s">
        <v>0</v>
      </c>
      <c r="I6">
        <v>2017</v>
      </c>
      <c r="J6">
        <v>1560</v>
      </c>
      <c r="K6">
        <v>1902</v>
      </c>
    </row>
    <row r="7" spans="1:13" x14ac:dyDescent="0.35">
      <c r="A7" s="13" t="s">
        <v>1</v>
      </c>
      <c r="B7" s="4">
        <v>2017</v>
      </c>
      <c r="C7" s="4">
        <v>2158</v>
      </c>
      <c r="D7" s="14">
        <v>2389</v>
      </c>
      <c r="E7">
        <f t="shared" si="0"/>
        <v>2</v>
      </c>
      <c r="I7">
        <v>2018</v>
      </c>
      <c r="J7">
        <v>2741</v>
      </c>
      <c r="K7">
        <v>3129</v>
      </c>
    </row>
    <row r="8" spans="1:13" x14ac:dyDescent="0.35">
      <c r="A8" s="11" t="s">
        <v>1</v>
      </c>
      <c r="B8">
        <v>2018</v>
      </c>
      <c r="C8">
        <v>2070</v>
      </c>
      <c r="D8" s="12">
        <v>2662</v>
      </c>
      <c r="E8">
        <f t="shared" si="0"/>
        <v>2</v>
      </c>
      <c r="I8">
        <v>2019</v>
      </c>
      <c r="J8">
        <v>3041</v>
      </c>
      <c r="K8">
        <v>2630</v>
      </c>
    </row>
    <row r="9" spans="1:13" x14ac:dyDescent="0.35">
      <c r="A9" s="11" t="s">
        <v>1</v>
      </c>
      <c r="B9">
        <v>2019</v>
      </c>
      <c r="C9">
        <v>3004</v>
      </c>
      <c r="D9" s="12">
        <v>2810</v>
      </c>
      <c r="E9">
        <f t="shared" si="0"/>
        <v>2</v>
      </c>
      <c r="I9">
        <v>2020</v>
      </c>
      <c r="J9">
        <v>3115</v>
      </c>
      <c r="K9">
        <v>1718</v>
      </c>
    </row>
    <row r="10" spans="1:13" x14ac:dyDescent="0.35">
      <c r="A10" s="11" t="s">
        <v>1</v>
      </c>
      <c r="B10">
        <v>2020</v>
      </c>
      <c r="C10">
        <v>1669</v>
      </c>
      <c r="D10" s="12">
        <v>1843</v>
      </c>
      <c r="E10">
        <f t="shared" si="0"/>
        <v>2</v>
      </c>
      <c r="I10">
        <v>2021</v>
      </c>
      <c r="J10">
        <v>3100</v>
      </c>
      <c r="K10">
        <v>2681</v>
      </c>
    </row>
    <row r="11" spans="1:13" x14ac:dyDescent="0.35">
      <c r="A11" s="11" t="s">
        <v>1</v>
      </c>
      <c r="B11">
        <v>2021</v>
      </c>
      <c r="C11">
        <v>1746</v>
      </c>
      <c r="D11" s="12">
        <v>3237</v>
      </c>
      <c r="E11">
        <f t="shared" si="0"/>
        <v>2</v>
      </c>
      <c r="H11" t="s">
        <v>1</v>
      </c>
      <c r="I11">
        <v>2017</v>
      </c>
      <c r="L11">
        <v>2389</v>
      </c>
      <c r="M11">
        <v>2158</v>
      </c>
    </row>
    <row r="12" spans="1:13" x14ac:dyDescent="0.35">
      <c r="A12" s="13" t="s">
        <v>2</v>
      </c>
      <c r="B12" s="4">
        <v>2017</v>
      </c>
      <c r="C12" s="4">
        <v>2233</v>
      </c>
      <c r="D12" s="14">
        <v>2835</v>
      </c>
      <c r="E12">
        <f t="shared" si="0"/>
        <v>1</v>
      </c>
      <c r="I12">
        <v>2018</v>
      </c>
      <c r="L12">
        <v>2662</v>
      </c>
      <c r="M12">
        <v>2070</v>
      </c>
    </row>
    <row r="13" spans="1:13" x14ac:dyDescent="0.35">
      <c r="A13" s="11" t="s">
        <v>2</v>
      </c>
      <c r="B13">
        <v>2018</v>
      </c>
      <c r="C13">
        <v>1518</v>
      </c>
      <c r="D13" s="12">
        <v>2698</v>
      </c>
      <c r="E13">
        <f t="shared" si="0"/>
        <v>1</v>
      </c>
      <c r="I13">
        <v>2019</v>
      </c>
      <c r="L13">
        <v>2810</v>
      </c>
      <c r="M13">
        <v>3004</v>
      </c>
    </row>
    <row r="14" spans="1:13" x14ac:dyDescent="0.35">
      <c r="A14" s="11" t="s">
        <v>2</v>
      </c>
      <c r="B14">
        <v>2019</v>
      </c>
      <c r="C14">
        <v>2610</v>
      </c>
      <c r="D14" s="12">
        <v>1823</v>
      </c>
      <c r="E14">
        <f t="shared" si="0"/>
        <v>1</v>
      </c>
      <c r="I14">
        <v>2020</v>
      </c>
      <c r="L14">
        <v>1843</v>
      </c>
      <c r="M14">
        <v>1669</v>
      </c>
    </row>
    <row r="15" spans="1:13" x14ac:dyDescent="0.35">
      <c r="A15" s="11" t="s">
        <v>2</v>
      </c>
      <c r="B15">
        <v>2020</v>
      </c>
      <c r="C15">
        <v>1997</v>
      </c>
      <c r="D15" s="12">
        <v>1777</v>
      </c>
      <c r="E15">
        <f t="shared" si="0"/>
        <v>1</v>
      </c>
      <c r="I15">
        <v>2021</v>
      </c>
      <c r="L15">
        <v>3237</v>
      </c>
      <c r="M15">
        <v>1746</v>
      </c>
    </row>
    <row r="16" spans="1:13" x14ac:dyDescent="0.35">
      <c r="A16" s="11" t="s">
        <v>2</v>
      </c>
      <c r="B16">
        <v>2021</v>
      </c>
      <c r="C16">
        <v>2041</v>
      </c>
      <c r="D16" s="12">
        <v>1895</v>
      </c>
      <c r="E16">
        <f t="shared" si="0"/>
        <v>1</v>
      </c>
      <c r="H16" t="s">
        <v>2</v>
      </c>
      <c r="I16">
        <v>2017</v>
      </c>
      <c r="J16">
        <v>2835</v>
      </c>
      <c r="K16">
        <v>2233</v>
      </c>
    </row>
    <row r="17" spans="1:13" x14ac:dyDescent="0.35">
      <c r="A17" s="13" t="s">
        <v>3</v>
      </c>
      <c r="B17" s="4">
        <v>2017</v>
      </c>
      <c r="C17" s="4">
        <v>2129</v>
      </c>
      <c r="D17" s="14">
        <v>2592</v>
      </c>
      <c r="E17">
        <f t="shared" si="0"/>
        <v>2</v>
      </c>
      <c r="I17">
        <v>2018</v>
      </c>
      <c r="J17">
        <v>2698</v>
      </c>
      <c r="K17">
        <v>1518</v>
      </c>
    </row>
    <row r="18" spans="1:13" x14ac:dyDescent="0.35">
      <c r="A18" s="11" t="s">
        <v>3</v>
      </c>
      <c r="B18">
        <v>2018</v>
      </c>
      <c r="C18">
        <v>2419</v>
      </c>
      <c r="D18" s="12">
        <v>2410</v>
      </c>
      <c r="E18">
        <f t="shared" si="0"/>
        <v>2</v>
      </c>
      <c r="I18">
        <v>2019</v>
      </c>
      <c r="J18">
        <v>1823</v>
      </c>
      <c r="K18">
        <v>2610</v>
      </c>
    </row>
    <row r="19" spans="1:13" x14ac:dyDescent="0.35">
      <c r="A19" s="11" t="s">
        <v>3</v>
      </c>
      <c r="B19">
        <v>2019</v>
      </c>
      <c r="C19">
        <v>2727</v>
      </c>
      <c r="D19" s="12">
        <v>3116</v>
      </c>
      <c r="E19">
        <f t="shared" si="0"/>
        <v>2</v>
      </c>
      <c r="I19">
        <v>2020</v>
      </c>
      <c r="J19">
        <v>1777</v>
      </c>
      <c r="K19">
        <v>1997</v>
      </c>
    </row>
    <row r="20" spans="1:13" x14ac:dyDescent="0.35">
      <c r="A20" s="11" t="s">
        <v>3</v>
      </c>
      <c r="B20">
        <v>2020</v>
      </c>
      <c r="C20">
        <v>1930</v>
      </c>
      <c r="D20" s="12">
        <v>2428</v>
      </c>
      <c r="E20">
        <f t="shared" si="0"/>
        <v>2</v>
      </c>
      <c r="I20">
        <v>2021</v>
      </c>
      <c r="J20">
        <v>1895</v>
      </c>
      <c r="K20">
        <v>2041</v>
      </c>
    </row>
    <row r="21" spans="1:13" x14ac:dyDescent="0.35">
      <c r="A21" s="15" t="s">
        <v>3</v>
      </c>
      <c r="B21" s="3">
        <v>2021</v>
      </c>
      <c r="C21" s="3">
        <v>2040</v>
      </c>
      <c r="D21" s="16">
        <v>3194</v>
      </c>
      <c r="E21">
        <f t="shared" si="0"/>
        <v>2</v>
      </c>
      <c r="H21" t="s">
        <v>3</v>
      </c>
      <c r="I21">
        <v>2017</v>
      </c>
      <c r="L21">
        <v>2592</v>
      </c>
      <c r="M21">
        <v>2129</v>
      </c>
    </row>
    <row r="22" spans="1:13" x14ac:dyDescent="0.35">
      <c r="I22">
        <v>2018</v>
      </c>
      <c r="L22">
        <v>2410</v>
      </c>
      <c r="M22">
        <v>2419</v>
      </c>
    </row>
    <row r="23" spans="1:13" x14ac:dyDescent="0.35">
      <c r="I23">
        <v>2019</v>
      </c>
      <c r="L23">
        <v>3116</v>
      </c>
      <c r="M23">
        <v>2727</v>
      </c>
    </row>
    <row r="24" spans="1:13" x14ac:dyDescent="0.35">
      <c r="I24">
        <v>2020</v>
      </c>
      <c r="L24">
        <v>2428</v>
      </c>
      <c r="M24">
        <v>1930</v>
      </c>
    </row>
    <row r="25" spans="1:13" x14ac:dyDescent="0.35">
      <c r="I25">
        <v>2021</v>
      </c>
      <c r="L25">
        <v>3194</v>
      </c>
      <c r="M25">
        <v>2040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63CA-CD1B-4D93-A6B2-2D79E6CB4895}">
  <dimension ref="A1:M21"/>
  <sheetViews>
    <sheetView tabSelected="1" workbookViewId="0">
      <selection activeCell="L14" sqref="L14"/>
    </sheetView>
  </sheetViews>
  <sheetFormatPr defaultRowHeight="14.5" x14ac:dyDescent="0.35"/>
  <cols>
    <col min="1" max="1" width="8.90625" bestFit="1" customWidth="1"/>
    <col min="2" max="2" width="4.81640625" bestFit="1" customWidth="1"/>
    <col min="3" max="3" width="13" bestFit="1" customWidth="1"/>
    <col min="4" max="4" width="9.90625" bestFit="1" customWidth="1"/>
    <col min="5" max="5" width="13" bestFit="1" customWidth="1"/>
    <col min="6" max="6" width="9.90625" bestFit="1" customWidth="1"/>
    <col min="12" max="12" width="8.7265625" style="33"/>
  </cols>
  <sheetData>
    <row r="1" spans="1:13" x14ac:dyDescent="0.35">
      <c r="A1" s="30"/>
      <c r="B1" s="30"/>
      <c r="C1" s="30" t="s">
        <v>7</v>
      </c>
      <c r="D1" s="30" t="s">
        <v>6</v>
      </c>
      <c r="E1" s="30" t="s">
        <v>7</v>
      </c>
      <c r="F1" s="30" t="s">
        <v>6</v>
      </c>
      <c r="L1" s="33" t="s">
        <v>165</v>
      </c>
      <c r="M1" t="s">
        <v>166</v>
      </c>
    </row>
    <row r="2" spans="1:13" x14ac:dyDescent="0.35">
      <c r="A2" s="2" t="s">
        <v>0</v>
      </c>
      <c r="B2">
        <v>2017</v>
      </c>
      <c r="C2">
        <v>1560</v>
      </c>
      <c r="D2">
        <v>1902</v>
      </c>
      <c r="M2" t="s">
        <v>167</v>
      </c>
    </row>
    <row r="3" spans="1:13" x14ac:dyDescent="0.35">
      <c r="A3" s="2"/>
      <c r="B3">
        <v>2018</v>
      </c>
      <c r="C3">
        <v>2741</v>
      </c>
      <c r="D3">
        <v>3129</v>
      </c>
      <c r="L3" s="33">
        <f>COUNTA(B2:B6)+0.5</f>
        <v>5.5</v>
      </c>
      <c r="M3">
        <v>0</v>
      </c>
    </row>
    <row r="4" spans="1:13" x14ac:dyDescent="0.35">
      <c r="A4" s="2"/>
      <c r="B4">
        <v>2019</v>
      </c>
      <c r="C4">
        <v>3041</v>
      </c>
      <c r="D4">
        <v>2630</v>
      </c>
      <c r="L4" s="33">
        <f>COUNTA(B7:B11)+L3</f>
        <v>10.5</v>
      </c>
      <c r="M4">
        <v>0</v>
      </c>
    </row>
    <row r="5" spans="1:13" x14ac:dyDescent="0.35">
      <c r="A5" s="2"/>
      <c r="B5">
        <v>2020</v>
      </c>
      <c r="C5">
        <v>3115</v>
      </c>
      <c r="D5">
        <v>1718</v>
      </c>
      <c r="L5" s="33">
        <f>COUNT(B12:B16)+L4</f>
        <v>15.5</v>
      </c>
      <c r="M5">
        <v>0</v>
      </c>
    </row>
    <row r="6" spans="1:13" x14ac:dyDescent="0.35">
      <c r="A6" s="31"/>
      <c r="B6">
        <v>2021</v>
      </c>
      <c r="C6">
        <v>3100</v>
      </c>
      <c r="D6">
        <v>2681</v>
      </c>
    </row>
    <row r="7" spans="1:13" x14ac:dyDescent="0.35">
      <c r="A7" s="2" t="s">
        <v>1</v>
      </c>
      <c r="B7">
        <v>2017</v>
      </c>
      <c r="E7">
        <v>2389</v>
      </c>
      <c r="F7">
        <v>2158</v>
      </c>
    </row>
    <row r="8" spans="1:13" x14ac:dyDescent="0.35">
      <c r="A8" s="2"/>
      <c r="B8">
        <v>2018</v>
      </c>
      <c r="E8">
        <v>2662</v>
      </c>
      <c r="F8">
        <v>2070</v>
      </c>
    </row>
    <row r="9" spans="1:13" x14ac:dyDescent="0.35">
      <c r="A9" s="2"/>
      <c r="B9">
        <v>2019</v>
      </c>
      <c r="E9">
        <v>2810</v>
      </c>
      <c r="F9">
        <v>3004</v>
      </c>
    </row>
    <row r="10" spans="1:13" x14ac:dyDescent="0.35">
      <c r="A10" s="2"/>
      <c r="B10">
        <v>2020</v>
      </c>
      <c r="E10">
        <v>1843</v>
      </c>
      <c r="F10">
        <v>1669</v>
      </c>
    </row>
    <row r="11" spans="1:13" x14ac:dyDescent="0.35">
      <c r="A11" s="31"/>
      <c r="B11">
        <v>2021</v>
      </c>
      <c r="E11">
        <v>3237</v>
      </c>
      <c r="F11">
        <v>1746</v>
      </c>
    </row>
    <row r="12" spans="1:13" x14ac:dyDescent="0.35">
      <c r="A12" s="2" t="s">
        <v>2</v>
      </c>
      <c r="B12">
        <v>2017</v>
      </c>
      <c r="C12">
        <v>2835</v>
      </c>
      <c r="D12">
        <v>2233</v>
      </c>
    </row>
    <row r="13" spans="1:13" x14ac:dyDescent="0.35">
      <c r="A13" s="2"/>
      <c r="B13">
        <v>2018</v>
      </c>
      <c r="C13">
        <v>2698</v>
      </c>
      <c r="D13">
        <v>1518</v>
      </c>
    </row>
    <row r="14" spans="1:13" x14ac:dyDescent="0.35">
      <c r="A14" s="2"/>
      <c r="B14">
        <v>2019</v>
      </c>
      <c r="C14">
        <v>1823</v>
      </c>
      <c r="D14">
        <v>2610</v>
      </c>
    </row>
    <row r="15" spans="1:13" x14ac:dyDescent="0.35">
      <c r="A15" s="2"/>
      <c r="B15">
        <v>2020</v>
      </c>
      <c r="C15">
        <v>1777</v>
      </c>
      <c r="D15">
        <v>1997</v>
      </c>
    </row>
    <row r="16" spans="1:13" x14ac:dyDescent="0.35">
      <c r="A16" s="31"/>
      <c r="B16">
        <v>2021</v>
      </c>
      <c r="C16">
        <v>1895</v>
      </c>
      <c r="D16">
        <v>2041</v>
      </c>
    </row>
    <row r="17" spans="1:6" x14ac:dyDescent="0.35">
      <c r="A17" s="2" t="s">
        <v>3</v>
      </c>
      <c r="B17">
        <v>2017</v>
      </c>
      <c r="E17">
        <v>2592</v>
      </c>
      <c r="F17">
        <v>2129</v>
      </c>
    </row>
    <row r="18" spans="1:6" x14ac:dyDescent="0.35">
      <c r="A18" s="2"/>
      <c r="B18">
        <v>2018</v>
      </c>
      <c r="E18">
        <v>2410</v>
      </c>
      <c r="F18">
        <v>2419</v>
      </c>
    </row>
    <row r="19" spans="1:6" x14ac:dyDescent="0.35">
      <c r="A19" s="2"/>
      <c r="B19">
        <v>2019</v>
      </c>
      <c r="E19">
        <v>3116</v>
      </c>
      <c r="F19">
        <v>2727</v>
      </c>
    </row>
    <row r="20" spans="1:6" x14ac:dyDescent="0.35">
      <c r="A20" s="2"/>
      <c r="B20">
        <v>2020</v>
      </c>
      <c r="E20">
        <v>2428</v>
      </c>
      <c r="F20">
        <v>1930</v>
      </c>
    </row>
    <row r="21" spans="1:6" x14ac:dyDescent="0.35">
      <c r="A21" s="31"/>
      <c r="B21">
        <v>2021</v>
      </c>
      <c r="E21">
        <v>3194</v>
      </c>
      <c r="F21">
        <v>2040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Ibad</cp:lastModifiedBy>
  <dcterms:created xsi:type="dcterms:W3CDTF">2021-05-02T13:39:48Z</dcterms:created>
  <dcterms:modified xsi:type="dcterms:W3CDTF">2023-01-23T08:32:56Z</dcterms:modified>
</cp:coreProperties>
</file>