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13_ncr:1_{F27F13B8-9DFF-4741-90E6-E2503AB506D5}" xr6:coauthVersionLast="47" xr6:coauthVersionMax="47" xr10:uidLastSave="{00000000-0000-0000-0000-000000000000}"/>
  <bookViews>
    <workbookView xWindow="-110" yWindow="-110" windowWidth="19420" windowHeight="10420" xr2:uid="{9B49DAE3-5A9E-457E-A8DB-7F97A45E4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H2" i="1"/>
  <c r="H3" i="1"/>
  <c r="H4" i="1"/>
  <c r="H5" i="1"/>
  <c r="H6" i="1"/>
  <c r="H7" i="1"/>
  <c r="F2" i="1"/>
  <c r="F3" i="1"/>
  <c r="F4" i="1"/>
  <c r="F5" i="1"/>
  <c r="F6" i="1"/>
  <c r="F7" i="1"/>
  <c r="G2" i="1"/>
  <c r="G3" i="1"/>
  <c r="G4" i="1"/>
  <c r="G5" i="1"/>
  <c r="G6" i="1"/>
  <c r="G7" i="1"/>
  <c r="D2" i="1"/>
  <c r="E2" i="1" s="1"/>
  <c r="D3" i="1"/>
  <c r="E3" i="1" s="1"/>
  <c r="D4" i="1"/>
  <c r="E4" i="1" s="1"/>
  <c r="D5" i="1"/>
  <c r="E5" i="1" s="1"/>
  <c r="D6" i="1"/>
  <c r="E6" i="1" s="1"/>
  <c r="D7" i="1"/>
  <c r="E7" i="1" s="1"/>
  <c r="A6" i="1"/>
  <c r="A2" i="1"/>
  <c r="A5" i="1"/>
  <c r="A4" i="1"/>
  <c r="A3" i="1"/>
</calcChain>
</file>

<file path=xl/sharedStrings.xml><?xml version="1.0" encoding="utf-8"?>
<sst xmlns="http://schemas.openxmlformats.org/spreadsheetml/2006/main" count="10" uniqueCount="10">
  <si>
    <t>name</t>
  </si>
  <si>
    <t>Target</t>
  </si>
  <si>
    <t>Score</t>
  </si>
  <si>
    <t>name 6</t>
  </si>
  <si>
    <t>max</t>
  </si>
  <si>
    <t>max_2</t>
  </si>
  <si>
    <t>up arrow</t>
  </si>
  <si>
    <t>down arrow</t>
  </si>
  <si>
    <t>Column1</t>
  </si>
  <si>
    <t>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</si>
</sst>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8">
    <dxf>
      <numFmt numFmtId="13" formatCode="0%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Plan Actual Variance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Sheet1!$D$1</c:f>
              <c:strCache>
                <c:ptCount val="1"/>
                <c:pt idx="0">
                  <c:v>max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358A808-7109-45DE-B90F-9C64DC75B2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62E-473D-8537-5BF2B6A499D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283332B-A7C2-4488-81B6-494D038145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62E-473D-8537-5BF2B6A499D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F703D9-416F-464D-BB6B-9A9BF99AC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62E-473D-8537-5BF2B6A499D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55DAB61-CAF5-400D-90DA-EC13D1D6A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62E-473D-8537-5BF2B6A499D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F4E74DC-9178-4811-A87A-D0C1F5034E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62E-473D-8537-5BF2B6A499D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21BF49A-9688-492B-ACB7-E2430AC2EB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62E-473D-8537-5BF2B6A499DA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minus"/>
            <c:errValType val="cust"/>
            <c:noEndCap val="1"/>
            <c:plus>
              <c:numRef>
                <c:f>Sheet1!$F$2:$F$7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15.039833417402894</c:v>
                  </c:pt>
                  <c:pt idx="2">
                    <c:v>0</c:v>
                  </c:pt>
                  <c:pt idx="3">
                    <c:v>0</c:v>
                  </c:pt>
                  <c:pt idx="4">
                    <c:v>32</c:v>
                  </c:pt>
                  <c:pt idx="5">
                    <c:v>10</c:v>
                  </c:pt>
                </c:numCache>
              </c:numRef>
            </c:plus>
            <c:minus>
              <c:numRef>
                <c:f>Sheet1!$G$2:$G$7</c:f>
                <c:numCache>
                  <c:formatCode>General</c:formatCode>
                  <c:ptCount val="6"/>
                  <c:pt idx="0">
                    <c:v>42.182636799354597</c:v>
                  </c:pt>
                  <c:pt idx="1">
                    <c:v>0</c:v>
                  </c:pt>
                  <c:pt idx="2">
                    <c:v>30</c:v>
                  </c:pt>
                  <c:pt idx="3">
                    <c:v>23.341417384848064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00B050"/>
                </a:solidFill>
                <a:round/>
                <a:headEnd type="stealth" w="lg" len="lg"/>
              </a:ln>
              <a:effectLst/>
            </c:spPr>
          </c:errBars>
          <c:cat>
            <c:strRef>
              <c:f>Sheet1!$A$2:$A$7</c:f>
              <c:strCache>
                <c:ptCount val="6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  <c:pt idx="5">
                  <c:v>name 6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58.8891182525212</c:v>
                </c:pt>
                <c:pt idx="1">
                  <c:v>30.745632049356299</c:v>
                </c:pt>
                <c:pt idx="2">
                  <c:v>80</c:v>
                </c:pt>
                <c:pt idx="3">
                  <c:v>61</c:v>
                </c:pt>
                <c:pt idx="4">
                  <c:v>80</c:v>
                </c:pt>
                <c:pt idx="5">
                  <c:v>60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Sheet1!$I$2:$I$8</c15:f>
                <c15:dlblRangeCache>
                  <c:ptCount val="7"/>
                  <c:pt idx="0">
                    <c:v>252%</c:v>
                  </c:pt>
                  <c:pt idx="1">
                    <c:v>-49%</c:v>
                  </c:pt>
                  <c:pt idx="2">
                    <c:v>60%</c:v>
                  </c:pt>
                  <c:pt idx="3">
                    <c:v>62%</c:v>
                  </c:pt>
                  <c:pt idx="4">
                    <c:v>-40%</c:v>
                  </c:pt>
                  <c:pt idx="5">
                    <c:v>-17%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762E-473D-8537-5BF2B6A499DA}"/>
            </c:ext>
          </c:extLst>
        </c:ser>
        <c:ser>
          <c:idx val="3"/>
          <c:order val="1"/>
          <c:tx>
            <c:strRef>
              <c:f>Sheet1!$E$1</c:f>
              <c:strCache>
                <c:ptCount val="1"/>
                <c:pt idx="0">
                  <c:v>max_2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Sheet1!$F$2:$F$7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15.039833417402894</c:v>
                  </c:pt>
                  <c:pt idx="2">
                    <c:v>0</c:v>
                  </c:pt>
                  <c:pt idx="3">
                    <c:v>0</c:v>
                  </c:pt>
                  <c:pt idx="4">
                    <c:v>32</c:v>
                  </c:pt>
                  <c:pt idx="5">
                    <c:v>10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FF0000"/>
                </a:solidFill>
                <a:round/>
                <a:headEnd type="none"/>
                <a:tailEnd type="stealth" w="lg" len="lg"/>
              </a:ln>
              <a:effectLst/>
            </c:spPr>
          </c:errBars>
          <c:cat>
            <c:strRef>
              <c:f>Sheet1!$A$2:$A$7</c:f>
              <c:strCache>
                <c:ptCount val="6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  <c:pt idx="5">
                  <c:v>name 6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58.8891182525212</c:v>
                </c:pt>
                <c:pt idx="1">
                  <c:v>30.745632049356299</c:v>
                </c:pt>
                <c:pt idx="2">
                  <c:v>80</c:v>
                </c:pt>
                <c:pt idx="3">
                  <c:v>61</c:v>
                </c:pt>
                <c:pt idx="4">
                  <c:v>80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2E-473D-8537-5BF2B6A499DA}"/>
            </c:ext>
          </c:extLst>
        </c:ser>
        <c:ser>
          <c:idx val="0"/>
          <c:order val="2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Sheet1!$C$2:$C$7</c:f>
              <c:numCache>
                <c:formatCode>0.00</c:formatCode>
                <c:ptCount val="6"/>
                <c:pt idx="0">
                  <c:v>16.706481453166599</c:v>
                </c:pt>
                <c:pt idx="1">
                  <c:v>30.745632049356299</c:v>
                </c:pt>
                <c:pt idx="2">
                  <c:v>50</c:v>
                </c:pt>
                <c:pt idx="3">
                  <c:v>37.658582615151936</c:v>
                </c:pt>
                <c:pt idx="4">
                  <c:v>80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2E-473D-8537-5BF2B6A499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7"/>
        <c:overlap val="100"/>
        <c:axId val="110814943"/>
        <c:axId val="110816191"/>
      </c:barChart>
      <c:catAx>
        <c:axId val="11081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16191"/>
        <c:crosses val="autoZero"/>
        <c:auto val="1"/>
        <c:lblAlgn val="ctr"/>
        <c:lblOffset val="100"/>
        <c:noMultiLvlLbl val="0"/>
      </c:catAx>
      <c:valAx>
        <c:axId val="110816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1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549274</xdr:colOff>
      <xdr:row>2</xdr:row>
      <xdr:rowOff>9525</xdr:rowOff>
    </xdr:from>
    <xdr:to>
      <xdr:col>12</xdr:col>
      <xdr:colOff>355599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BD381-F352-A571-141B-07ABB2106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A40C0-7D8D-4950-9C68-0488DE01596A}" name="Table1" displayName="Table1" ref="A1:I7" totalsRowShown="0">
  <autoFilter ref="A1:I7" xr:uid="{720A40C0-7D8D-4950-9C68-0488DE01596A}"/>
  <tableColumns count="9">
    <tableColumn id="1" xr3:uid="{19594EB5-6EB0-4086-885D-B2CAFA430ABD}" name="name"/>
    <tableColumn id="2" xr3:uid="{2FBA3FEA-4AE2-4797-AC07-CB8BD1D00B36}" name="Score" dataDxfId="7"/>
    <tableColumn id="3" xr3:uid="{18C0876A-CAEB-47BC-9F7E-8769233FA551}" name="Target" dataDxfId="6"/>
    <tableColumn id="4" xr3:uid="{3F1C281E-4486-40EF-8E7A-5B730841165F}" name="max" dataDxfId="5">
      <calculatedColumnFormula>MAX(Table1[[#This Row],[Score]:[Target]])</calculatedColumnFormula>
    </tableColumn>
    <tableColumn id="5" xr3:uid="{173807D2-897F-4358-955D-AE07AC59B373}" name="max_2" dataDxfId="4">
      <calculatedColumnFormula>Table1[[#This Row],[max]]</calculatedColumnFormula>
    </tableColumn>
    <tableColumn id="6" xr3:uid="{3B6886F0-5DA1-4A90-971F-EDC40EAEA380}" name="down arrow" dataDxfId="2">
      <calculatedColumnFormula>IF(Table1[[#This Row],[Target]]&gt;Table1[[#This Row],[Score]],Table1[[#This Row],[Target]]-B2,0)</calculatedColumnFormula>
    </tableColumn>
    <tableColumn id="7" xr3:uid="{7412FC2F-4F36-4E98-9125-85A77FC63754}" name="up arrow" dataDxfId="3">
      <calculatedColumnFormula>IF(Table1[[#This Row],[Target]]&lt;Table1[[#This Row],[Score]],Table1[[#This Row],[Score]]-Table1[[#This Row],[Target]],0)</calculatedColumnFormula>
    </tableColumn>
    <tableColumn id="11" xr3:uid="{4FA2B5F0-5EB0-446D-81B1-7218F675E729}" name="head" dataDxfId="1">
      <calculatedColumnFormula>Table1[[#This Row],[Score]]-Table1[[#This Row],[Target]]</calculatedColumnFormula>
    </tableColumn>
    <tableColumn id="12" xr3:uid="{35A96F57-DE3F-43CB-BD19-C0ADFD39446D}" name="Column1" dataDxfId="0">
      <calculatedColumnFormula>Table1[[#This Row],[head]]/Table1[[#This Row],[Target]]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CDC3-6DCD-4A33-9BB8-E4F763793283}">
  <dimension ref="A1:I7"/>
  <sheetViews>
    <sheetView showGridLines="0" tabSelected="1" workbookViewId="0">
      <selection activeCell="O11" sqref="O11"/>
    </sheetView>
  </sheetViews>
  <sheetFormatPr defaultRowHeight="14.5" x14ac:dyDescent="0.35"/>
  <cols>
    <col min="2" max="3" width="8.7265625" style="1"/>
    <col min="9" max="9" width="8.7265625" style="3"/>
  </cols>
  <sheetData>
    <row r="1" spans="1:9" x14ac:dyDescent="0.35">
      <c r="A1" t="s">
        <v>0</v>
      </c>
      <c r="B1" s="1" t="s">
        <v>2</v>
      </c>
      <c r="C1" s="1" t="s">
        <v>1</v>
      </c>
      <c r="D1" t="s">
        <v>4</v>
      </c>
      <c r="E1" t="s">
        <v>5</v>
      </c>
      <c r="F1" t="s">
        <v>7</v>
      </c>
      <c r="G1" t="s">
        <v>6</v>
      </c>
      <c r="H1" t="s">
        <v>9</v>
      </c>
      <c r="I1" s="3" t="s">
        <v>8</v>
      </c>
    </row>
    <row r="2" spans="1:9" x14ac:dyDescent="0.35">
      <c r="A2" t="str">
        <f>"Name "&amp; 1</f>
        <v>Name 1</v>
      </c>
      <c r="B2" s="1">
        <v>58.8891182525212</v>
      </c>
      <c r="C2" s="1">
        <v>16.706481453166599</v>
      </c>
      <c r="D2">
        <f>MAX(Table1[[#This Row],[Score]:[Target]])</f>
        <v>58.8891182525212</v>
      </c>
      <c r="E2">
        <f>Table1[[#This Row],[max]]</f>
        <v>58.8891182525212</v>
      </c>
      <c r="F2">
        <f>IF(Table1[[#This Row],[Target]]&gt;Table1[[#This Row],[Score]],Table1[[#This Row],[Target]]-B2,0)</f>
        <v>0</v>
      </c>
      <c r="G2" s="2">
        <f>IF(Table1[[#This Row],[Target]]&lt;Table1[[#This Row],[Score]],Table1[[#This Row],[Score]]-Table1[[#This Row],[Target]],0)</f>
        <v>42.182636799354597</v>
      </c>
      <c r="H2" s="1">
        <f>Table1[[#This Row],[Score]]-Table1[[#This Row],[Target]]</f>
        <v>42.182636799354597</v>
      </c>
      <c r="I2" s="3">
        <f>Table1[[#This Row],[head]]/Table1[[#This Row],[Target]]</f>
        <v>2.5249264435246577</v>
      </c>
    </row>
    <row r="3" spans="1:9" x14ac:dyDescent="0.35">
      <c r="A3" t="str">
        <f>"Name "&amp;2</f>
        <v>Name 2</v>
      </c>
      <c r="B3" s="1">
        <v>15.705798631953405</v>
      </c>
      <c r="C3" s="1">
        <v>30.745632049356299</v>
      </c>
      <c r="D3">
        <f>MAX(Table1[[#This Row],[Score]:[Target]])</f>
        <v>30.745632049356299</v>
      </c>
      <c r="E3">
        <f>Table1[[#This Row],[max]]</f>
        <v>30.745632049356299</v>
      </c>
      <c r="F3">
        <f>IF(Table1[[#This Row],[Target]]&gt;Table1[[#This Row],[Score]],Table1[[#This Row],[Target]]-B3,0)</f>
        <v>15.039833417402894</v>
      </c>
      <c r="G3" s="2">
        <f>IF(Table1[[#This Row],[Target]]&lt;Table1[[#This Row],[Score]],Table1[[#This Row],[Score]]-Table1[[#This Row],[Target]],0)</f>
        <v>0</v>
      </c>
      <c r="H3" s="1">
        <f>Table1[[#This Row],[Score]]-Table1[[#This Row],[Target]]</f>
        <v>-15.039833417402894</v>
      </c>
      <c r="I3" s="3">
        <f>Table1[[#This Row],[head]]/Table1[[#This Row],[Target]]</f>
        <v>-0.48916975891922748</v>
      </c>
    </row>
    <row r="4" spans="1:9" x14ac:dyDescent="0.35">
      <c r="A4" t="str">
        <f>"Name "&amp;3</f>
        <v>Name 3</v>
      </c>
      <c r="B4" s="1">
        <v>80</v>
      </c>
      <c r="C4" s="1">
        <v>50</v>
      </c>
      <c r="D4">
        <f>MAX(Table1[[#This Row],[Score]:[Target]])</f>
        <v>80</v>
      </c>
      <c r="E4">
        <f>Table1[[#This Row],[max]]</f>
        <v>80</v>
      </c>
      <c r="F4">
        <f>IF(Table1[[#This Row],[Target]]&gt;Table1[[#This Row],[Score]],Table1[[#This Row],[Target]]-B4,0)</f>
        <v>0</v>
      </c>
      <c r="G4" s="2">
        <f>IF(Table1[[#This Row],[Target]]&lt;Table1[[#This Row],[Score]],Table1[[#This Row],[Score]]-Table1[[#This Row],[Target]],0)</f>
        <v>30</v>
      </c>
      <c r="H4" s="1">
        <f>Table1[[#This Row],[Score]]-Table1[[#This Row],[Target]]</f>
        <v>30</v>
      </c>
      <c r="I4" s="3">
        <f>Table1[[#This Row],[head]]/Table1[[#This Row],[Target]]</f>
        <v>0.6</v>
      </c>
    </row>
    <row r="5" spans="1:9" x14ac:dyDescent="0.35">
      <c r="A5" t="str">
        <f>"Name "&amp;4</f>
        <v>Name 4</v>
      </c>
      <c r="B5" s="1">
        <v>61</v>
      </c>
      <c r="C5" s="1">
        <v>37.658582615151936</v>
      </c>
      <c r="D5">
        <f>MAX(Table1[[#This Row],[Score]:[Target]])</f>
        <v>61</v>
      </c>
      <c r="E5">
        <f>Table1[[#This Row],[max]]</f>
        <v>61</v>
      </c>
      <c r="F5">
        <f>IF(Table1[[#This Row],[Target]]&gt;Table1[[#This Row],[Score]],Table1[[#This Row],[Target]]-B5,0)</f>
        <v>0</v>
      </c>
      <c r="G5" s="2">
        <f>IF(Table1[[#This Row],[Target]]&lt;Table1[[#This Row],[Score]],Table1[[#This Row],[Score]]-Table1[[#This Row],[Target]],0)</f>
        <v>23.341417384848064</v>
      </c>
      <c r="H5" s="1">
        <f>Table1[[#This Row],[Score]]-Table1[[#This Row],[Target]]</f>
        <v>23.341417384848064</v>
      </c>
      <c r="I5" s="3">
        <f>Table1[[#This Row],[head]]/Table1[[#This Row],[Target]]</f>
        <v>0.6198166729582818</v>
      </c>
    </row>
    <row r="6" spans="1:9" x14ac:dyDescent="0.35">
      <c r="A6" t="str">
        <f>"Name "&amp;5</f>
        <v>Name 5</v>
      </c>
      <c r="B6" s="1">
        <v>48</v>
      </c>
      <c r="C6" s="1">
        <v>80</v>
      </c>
      <c r="D6">
        <f>MAX(Table1[[#This Row],[Score]:[Target]])</f>
        <v>80</v>
      </c>
      <c r="E6">
        <f>Table1[[#This Row],[max]]</f>
        <v>80</v>
      </c>
      <c r="F6">
        <f>IF(Table1[[#This Row],[Target]]&gt;Table1[[#This Row],[Score]],Table1[[#This Row],[Target]]-B6,0)</f>
        <v>32</v>
      </c>
      <c r="G6" s="2">
        <f>IF(Table1[[#This Row],[Target]]&lt;Table1[[#This Row],[Score]],Table1[[#This Row],[Score]]-Table1[[#This Row],[Target]],0)</f>
        <v>0</v>
      </c>
      <c r="H6" s="1">
        <f>Table1[[#This Row],[Score]]-Table1[[#This Row],[Target]]</f>
        <v>-32</v>
      </c>
      <c r="I6" s="3">
        <f>Table1[[#This Row],[head]]/Table1[[#This Row],[Target]]</f>
        <v>-0.4</v>
      </c>
    </row>
    <row r="7" spans="1:9" x14ac:dyDescent="0.35">
      <c r="A7" t="s">
        <v>3</v>
      </c>
      <c r="B7" s="1">
        <v>50</v>
      </c>
      <c r="C7" s="1">
        <v>60</v>
      </c>
      <c r="D7">
        <f>MAX(Table1[[#This Row],[Score]:[Target]])</f>
        <v>60</v>
      </c>
      <c r="E7">
        <f>Table1[[#This Row],[max]]</f>
        <v>60</v>
      </c>
      <c r="F7">
        <f>IF(Table1[[#This Row],[Target]]&gt;Table1[[#This Row],[Score]],Table1[[#This Row],[Target]]-B7,0)</f>
        <v>10</v>
      </c>
      <c r="G7" s="2">
        <f>IF(Table1[[#This Row],[Target]]&lt;Table1[[#This Row],[Score]],Table1[[#This Row],[Score]]-Table1[[#This Row],[Target]],0)</f>
        <v>0</v>
      </c>
      <c r="H7" s="1">
        <f>Table1[[#This Row],[Score]]-Table1[[#This Row],[Target]]</f>
        <v>-10</v>
      </c>
      <c r="I7" s="3">
        <f>Table1[[#This Row],[head]]/Table1[[#This Row],[Target]]</f>
        <v>-0.16666666666666666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D22BF970E88499401DFB18B0B3DBE" ma:contentTypeVersion="2" ma:contentTypeDescription="Create a new document." ma:contentTypeScope="" ma:versionID="1f8e9241c620817dd1e23119fb3dc166">
  <xsd:schema xmlns:xsd="http://www.w3.org/2001/XMLSchema" xmlns:xs="http://www.w3.org/2001/XMLSchema" xmlns:p="http://schemas.microsoft.com/office/2006/metadata/properties" xmlns:ns3="fd804609-77fd-49da-9642-c197aaa9924d" targetNamespace="http://schemas.microsoft.com/office/2006/metadata/properties" ma:root="true" ma:fieldsID="d1ffb67d2db985057722559b3caa07de" ns3:_="">
    <xsd:import namespace="fd804609-77fd-49da-9642-c197aaa992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04609-77fd-49da-9642-c197aaa992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4CAA1E-3817-48C5-A32E-734AA1E3EF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804609-77fd-49da-9642-c197aaa992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3C619E-C69D-4143-8902-F09A90E3D1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A91418-AAB4-429A-A9AE-16E16AE22EAE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fd804609-77fd-49da-9642-c197aaa9924d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2023-01-22T22:01:11Z</dcterms:created>
  <dcterms:modified xsi:type="dcterms:W3CDTF">2023-01-24T12:14:44Z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0x0101001BED22BF970E88499401DFB18B0B3DBE</vt:lpwstr>
  </property>
</Properties>
</file>