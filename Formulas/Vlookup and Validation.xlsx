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"/>
    </mc:Choice>
  </mc:AlternateContent>
  <xr:revisionPtr revIDLastSave="0" documentId="8_{BD5A74D0-B8BD-446F-91C9-528EEE706F1E}" xr6:coauthVersionLast="47" xr6:coauthVersionMax="47" xr10:uidLastSave="{00000000-0000-0000-0000-000000000000}"/>
  <bookViews>
    <workbookView xWindow="-110" yWindow="-110" windowWidth="19420" windowHeight="10420" xr2:uid="{74755046-F884-4AA9-AF31-0E1CB467A43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3" l="1"/>
  <c r="K8" i="3"/>
  <c r="J8" i="3"/>
  <c r="I8" i="3"/>
</calcChain>
</file>

<file path=xl/sharedStrings.xml><?xml version="1.0" encoding="utf-8"?>
<sst xmlns="http://schemas.openxmlformats.org/spreadsheetml/2006/main" count="21" uniqueCount="16">
  <si>
    <t>Client Name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</si>
  <si>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</si>
  <si>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</si>
  <si>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</si>
  <si>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</si>
  <si>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</si>
  <si>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</si>
  <si>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</si>
  <si>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</si>
  <si>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</si>
  <si>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</si>
  <si>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Milestone 1</t>
  </si>
  <si>
    <t>Milestone 2</t>
  </si>
  <si>
    <t>Milestone 3</t>
  </si>
  <si>
    <t>Milestone 4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</si>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</sst>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B4F-CEC3-47A8-BF0C-CF7A3BFD2ACE}">
  <dimension ref="A1:L11"/>
  <sheetViews>
    <sheetView tabSelected="1" workbookViewId="0">
      <selection activeCell="H8" sqref="H8"/>
    </sheetView>
  </sheetViews>
  <sheetFormatPr defaultColWidth="12.7265625" defaultRowHeight="14.5" x14ac:dyDescent="0.35"/>
  <cols>
    <col min="3" max="5" width="12.7265625" style="1"/>
    <col min="9" max="12" width="12.7265625" style="1"/>
  </cols>
  <sheetData>
    <row r="1" spans="1:12" x14ac:dyDescent="0.35">
      <c r="A1" t="s">
        <v>0</v>
      </c>
      <c r="B1" t="s">
        <v>11</v>
      </c>
      <c r="C1" s="1" t="s">
        <v>12</v>
      </c>
      <c r="D1" s="1" t="s">
        <v>13</v>
      </c>
      <c r="E1" s="1" t="s">
        <v>14</v>
      </c>
    </row>
    <row r="2" spans="1:12" x14ac:dyDescent="0.35">
      <c r="A2" t="s">
        <v>1</v>
      </c>
      <c r="B2">
        <v>90</v>
      </c>
      <c r="C2" s="1">
        <v>42.505669707821006</v>
      </c>
      <c r="D2" s="1">
        <v>50.81833732355512</v>
      </c>
      <c r="E2" s="1">
        <v>36.697862765379227</v>
      </c>
    </row>
    <row r="3" spans="1:12" x14ac:dyDescent="0.35">
      <c r="A3" t="s">
        <v>2</v>
      </c>
      <c r="B3">
        <v>50</v>
      </c>
      <c r="C3" s="1">
        <v>84.529871723398017</v>
      </c>
      <c r="D3" s="1">
        <v>99.514975212918969</v>
      </c>
      <c r="E3" s="1">
        <v>62.739206451514164</v>
      </c>
    </row>
    <row r="4" spans="1:12" x14ac:dyDescent="0.35">
      <c r="A4" t="s">
        <v>3</v>
      </c>
      <c r="B4">
        <v>37</v>
      </c>
      <c r="C4" s="1">
        <v>90.587346050101971</v>
      </c>
      <c r="D4" s="1">
        <v>36.936048967964595</v>
      </c>
      <c r="E4" s="1">
        <v>32.768448315920438</v>
      </c>
    </row>
    <row r="5" spans="1:12" x14ac:dyDescent="0.35">
      <c r="A5" t="s">
        <v>4</v>
      </c>
      <c r="B5">
        <v>15</v>
      </c>
      <c r="C5" s="1">
        <v>85.265539173975284</v>
      </c>
      <c r="D5" s="1">
        <v>99.817108300580159</v>
      </c>
      <c r="E5" s="1">
        <v>89.137395056247144</v>
      </c>
    </row>
    <row r="6" spans="1:12" x14ac:dyDescent="0.35">
      <c r="A6" t="s">
        <v>5</v>
      </c>
      <c r="B6">
        <v>75</v>
      </c>
      <c r="C6" s="1">
        <v>36.90566280068073</v>
      </c>
      <c r="D6" s="1">
        <v>94.058736370885484</v>
      </c>
      <c r="E6" s="1">
        <v>62.151093485381828</v>
      </c>
    </row>
    <row r="7" spans="1:12" x14ac:dyDescent="0.35">
      <c r="A7" t="s">
        <v>6</v>
      </c>
      <c r="B7">
        <v>35</v>
      </c>
      <c r="C7" s="1">
        <v>13.58321658885745</v>
      </c>
      <c r="D7" s="1">
        <v>84.783773189971782</v>
      </c>
      <c r="E7" s="1">
        <v>56.976120645607764</v>
      </c>
      <c r="H7" t="s">
        <v>15</v>
      </c>
      <c r="I7" t="s">
        <v>11</v>
      </c>
      <c r="J7" s="1" t="s">
        <v>12</v>
      </c>
      <c r="K7" s="1" t="s">
        <v>13</v>
      </c>
      <c r="L7" s="1" t="s">
        <v>14</v>
      </c>
    </row>
    <row r="8" spans="1:12" x14ac:dyDescent="0.35">
      <c r="A8" t="s">
        <v>7</v>
      </c>
      <c r="B8">
        <v>71</v>
      </c>
      <c r="C8" s="1">
        <v>44.55801110051808</v>
      </c>
      <c r="D8" s="1">
        <v>20.8361437000652</v>
      </c>
      <c r="E8" s="1">
        <v>80.525262297220834</v>
      </c>
      <c r="H8" t="s">
        <v>9</v>
      </c>
      <c r="I8" s="1">
        <f>VLOOKUP($H$8,$A$2:$E$11,2)</f>
        <v>18</v>
      </c>
      <c r="J8" s="1">
        <f>VLOOKUP($H$8,$A$2:$E$11,3)</f>
        <v>73.446086787479587</v>
      </c>
      <c r="K8" s="1">
        <f>VLOOKUP($H$8,$A$2:$E$11,4)</f>
        <v>89.358802894632547</v>
      </c>
      <c r="L8" s="1">
        <f>VLOOKUP($H$8,$A$2:$E$11,5)</f>
        <v>7.5032970006169597</v>
      </c>
    </row>
    <row r="9" spans="1:12" x14ac:dyDescent="0.35">
      <c r="A9" t="s">
        <v>8</v>
      </c>
      <c r="B9">
        <v>80</v>
      </c>
      <c r="C9" s="1">
        <v>24.386751968823571</v>
      </c>
      <c r="D9" s="1">
        <v>8.0788651370462539</v>
      </c>
      <c r="E9" s="1">
        <v>51.294852874026297</v>
      </c>
    </row>
    <row r="10" spans="1:12" x14ac:dyDescent="0.35">
      <c r="A10" t="s">
        <v>9</v>
      </c>
      <c r="B10">
        <v>18</v>
      </c>
      <c r="C10" s="1">
        <v>73.446086787479587</v>
      </c>
      <c r="D10" s="1">
        <v>89.358802894632547</v>
      </c>
      <c r="E10" s="1">
        <v>7.5032970006169597</v>
      </c>
    </row>
    <row r="11" spans="1:12" x14ac:dyDescent="0.35">
      <c r="A11" t="s">
        <v>10</v>
      </c>
      <c r="B11">
        <v>81</v>
      </c>
      <c r="C11" s="1">
        <v>80.539885176929516</v>
      </c>
      <c r="D11" s="1">
        <v>0.4682274308053902</v>
      </c>
      <c r="E11" s="1">
        <v>31.326798261905964</v>
      </c>
    </row>
  </sheetData>
  <phoneticPr fontId="1" type="noConversion"/>
  <conditionalFormatting sqref="B2:E11">
    <cfRule type="cellIs" dxfId="3" priority="4" operator="greaterThan">
      <formula>69</formula>
    </cfRule>
    <cfRule type="cellIs" dxfId="2" priority="3" operator="lessThan">
      <formula>69</formula>
    </cfRule>
  </conditionalFormatting>
  <conditionalFormatting sqref="I8:L8">
    <cfRule type="cellIs" dxfId="0" priority="2" operator="greaterThan">
      <formula>69</formula>
    </cfRule>
    <cfRule type="cellIs" dxfId="1" priority="1" operator="lessThan">
      <formula>70</formula>
    </cfRule>
  </conditionalFormatting>
  <dataValidations count="1">
    <dataValidation type="list" allowBlank="1" showInputMessage="1" showErrorMessage="1" sqref="H8" xr:uid="{124E3AE7-44C1-45EB-B603-3583AE3E8936}">
      <formula1>$A$2:$A$11</formula1>
    </dataValidation>
  </dataValidations>
  <pageMargins left="0.7" right="0.7" top="0.75" bottom="0.75" header="0.3" footer="0.3"/>
  <ignoredErrors>
    <ignoredError sqref="J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2023-03-01T08:52:32Z</dcterms:created>
  <dcterms:modified xsi:type="dcterms:W3CDTF">2023-03-01T09:26:39Z</dcterms:modified>
</cp:coreProperties>
</file>