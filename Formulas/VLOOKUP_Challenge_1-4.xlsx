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Ibad\Desktop\"/>
    </mc:Choice>
  </mc:AlternateContent>
  <xr:revisionPtr revIDLastSave="0" documentId="13_ncr:1_{A50635E6-1A87-497A-A4DA-B98050FD31B2}" xr6:coauthVersionLast="47" xr6:coauthVersionMax="47" xr10:uidLastSave="{00000000-0000-0000-0000-000000000000}"/>
  <bookViews>
    <workbookView xWindow="-110" yWindow="-110" windowWidth="19420" windowHeight="10420" xr2:uid="{00000000-000D-0000-FFFF-FFFF00000000}"/>
  </bookViews>
  <sheets>
    <sheet name="vlookup" sheetId="3" r:id="rId1"/>
    <sheet name="Challange 1" sheetId="5" r:id="rId2"/>
    <sheet name="Challange 2" sheetId="1" r:id="rId3"/>
    <sheet name="challange 3" sheetId="4" r:id="rId4"/>
    <sheet name="Challange 4"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5" l="1"/>
  <c r="N14" i="5"/>
  <c r="N15" i="5"/>
  <c r="N16" i="5"/>
  <c r="N12" i="5"/>
  <c r="M13" i="5"/>
  <c r="M14" i="5"/>
  <c r="M15" i="5"/>
  <c r="M16" i="5"/>
  <c r="M12" i="5"/>
  <c r="L13" i="5"/>
  <c r="L14" i="5"/>
  <c r="L15" i="5"/>
  <c r="L16" i="5"/>
  <c r="L12" i="5"/>
  <c r="F14" i="1"/>
  <c r="F15" i="1"/>
  <c r="F16" i="1"/>
  <c r="F17" i="1"/>
  <c r="F13" i="1"/>
  <c r="I15" i="2"/>
  <c r="I16" i="2"/>
  <c r="I17" i="2"/>
  <c r="I18" i="2"/>
  <c r="I14" i="2"/>
  <c r="H15" i="2"/>
  <c r="H16" i="2"/>
  <c r="H17" i="2"/>
  <c r="H18" i="2"/>
  <c r="H14" i="2"/>
  <c r="G15" i="2"/>
  <c r="G16" i="2"/>
  <c r="G17" i="2"/>
  <c r="G18" i="2"/>
  <c r="G14" i="2"/>
  <c r="M13" i="4"/>
  <c r="N13" i="4" s="1"/>
  <c r="M14" i="4"/>
  <c r="M15" i="4"/>
  <c r="M16" i="4"/>
  <c r="M12" i="4"/>
  <c r="L13" i="4"/>
  <c r="L14" i="4"/>
  <c r="L15" i="4"/>
  <c r="L16" i="4"/>
  <c r="L12" i="4"/>
  <c r="K13" i="4"/>
  <c r="K14" i="4"/>
  <c r="K15" i="4"/>
  <c r="K16" i="4"/>
  <c r="K12" i="4"/>
  <c r="K13" i="5"/>
  <c r="K14" i="5"/>
  <c r="K15" i="5"/>
  <c r="K16" i="5"/>
  <c r="K12" i="5"/>
  <c r="J13" i="5"/>
  <c r="J14" i="5"/>
  <c r="J15" i="5"/>
  <c r="J16" i="5"/>
  <c r="J12" i="5"/>
  <c r="N15" i="4"/>
  <c r="N16" i="4"/>
  <c r="F12" i="1"/>
  <c r="N14" i="4" l="1"/>
  <c r="N12" i="4"/>
</calcChain>
</file>

<file path=xl/sharedStrings.xml><?xml version="1.0" encoding="utf-8"?>
<sst xmlns="http://schemas.openxmlformats.org/spreadsheetml/2006/main" count="210" uniqueCount="65">
  <si>
    <t>Employee ID</t>
  </si>
  <si>
    <t>Employee Name</t>
  </si>
  <si>
    <t>John Smith</t>
  </si>
  <si>
    <t>Jane Doe</t>
  </si>
  <si>
    <t>Mark Johnson</t>
  </si>
  <si>
    <t>Sarah Davis</t>
  </si>
  <si>
    <t>Robert Brown</t>
  </si>
  <si>
    <t>Department ID</t>
  </si>
  <si>
    <t>Department Name</t>
  </si>
  <si>
    <t>Sales</t>
  </si>
  <si>
    <t>Marketing</t>
  </si>
  <si>
    <t>Finance</t>
  </si>
  <si>
    <t>HR</t>
  </si>
  <si>
    <t>Operations</t>
  </si>
  <si>
    <t>Table 1</t>
  </si>
  <si>
    <t>Table 2</t>
  </si>
  <si>
    <t>Taget Table</t>
  </si>
  <si>
    <t>Order ID</t>
  </si>
  <si>
    <t>Product ID</t>
  </si>
  <si>
    <t>Region ID</t>
  </si>
  <si>
    <t>Quantity</t>
  </si>
  <si>
    <t>P101</t>
  </si>
  <si>
    <t>R201</t>
  </si>
  <si>
    <t>P102</t>
  </si>
  <si>
    <t>R202</t>
  </si>
  <si>
    <t>P103</t>
  </si>
  <si>
    <t>R203</t>
  </si>
  <si>
    <t>P104</t>
  </si>
  <si>
    <t>R204</t>
  </si>
  <si>
    <t>P105</t>
  </si>
  <si>
    <t>R205</t>
  </si>
  <si>
    <t>Product Name</t>
  </si>
  <si>
    <t>Widget A</t>
  </si>
  <si>
    <t>Widget B</t>
  </si>
  <si>
    <t>Widget C</t>
  </si>
  <si>
    <t>Widget D</t>
  </si>
  <si>
    <t>Widget E</t>
  </si>
  <si>
    <t>Region Name</t>
  </si>
  <si>
    <t>North</t>
  </si>
  <si>
    <t>South</t>
  </si>
  <si>
    <t>East</t>
  </si>
  <si>
    <t>West</t>
  </si>
  <si>
    <t>Central</t>
  </si>
  <si>
    <t>Table 3</t>
  </si>
  <si>
    <t>Target Table</t>
  </si>
  <si>
    <t>Creating a workbook with multiple sheets, each containing different VLOOKUP challenges of increasing difficulty. As you progress through the sheets, you can tackle more complex scenarios and sharpen your understanding of the VLOOKUP function.</t>
  </si>
  <si>
    <t>Price</t>
  </si>
  <si>
    <t>Total</t>
  </si>
  <si>
    <t>???</t>
  </si>
  <si>
    <t>Using the VLOOKUP function, populate the "Product Name" and "Region Name" columns in the new table by looking up the corresponding product ID and region ID from the respective tables.</t>
  </si>
  <si>
    <t>Challenge</t>
  </si>
  <si>
    <t>Using the VLOOKUP function, populate the "Department Name" column in the new table by looking up the department ID for each employee from the "Employee Data" table and matching it with the corresponding department name from the "Department Data" table.</t>
  </si>
  <si>
    <t>Using nested VLOOKUP functions, populate the "Product Name," "Price," and "Total" columns in the new table. The "Total" column should calculate the total value for each order by multiplying the quantity with the price.</t>
  </si>
  <si>
    <t>SOLUTION</t>
  </si>
  <si>
    <t>Solution</t>
  </si>
  <si>
    <t>Category</t>
  </si>
  <si>
    <t>P001</t>
  </si>
  <si>
    <t>Electronics</t>
  </si>
  <si>
    <t>P002</t>
  </si>
  <si>
    <t>Clothing</t>
  </si>
  <si>
    <t>P003</t>
  </si>
  <si>
    <t>P004</t>
  </si>
  <si>
    <t>Furniture</t>
  </si>
  <si>
    <t>P005</t>
  </si>
  <si>
    <t>Using VLOOKUP with multiple criteria, populate the "Category" and "Price" columns in the new table. The "Total" column should calculate the total value for each order by multiplying the quantity with the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</si>
</sst>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9.6"/>
      <color theme="1"/>
      <name val="Segoe UI"/>
      <family val="2"/>
    </font>
    <font>
      <sz val="9.6"/>
      <color theme="1"/>
      <name val="Segoe UI"/>
      <family val="2"/>
    </font>
    <font>
      <sz val="20"/>
      <color theme="1"/>
      <name val="Calibri"/>
      <family val="2"/>
      <scheme val="minor"/>
    </font>
    <font>
      <sz val="26"/>
      <color theme="1"/>
      <name val="Calibri"/>
      <family val="2"/>
      <scheme val="minor"/>
    </font>
    <font>
      <b/>
      <sz val="26"/>
      <color theme="1"/>
      <name val="Calibri"/>
      <family val="2"/>
      <scheme val="minor"/>
    </font>
    <font>
      <b/>
      <sz val="36"/>
      <color theme="1"/>
      <name val="Calibri"/>
      <family val="2"/>
      <scheme val="minor"/>
    </font>
    <font>
      <sz val="26"/>
      <color rgb="FFFF0000"/>
      <name val="Calibri"/>
      <family val="2"/>
      <scheme val="minor"/>
    </font>
    <font>
      <sz val="9.6"/>
      <name val="Segoe UI"/>
      <family val="2"/>
    </font>
    <font>
      <sz val="9.6"/>
      <name val="Segoe UI"/>
      <family val="2"/>
    </font>
    <font>
      <b/>
      <sz val="20"/>
      <color theme="1"/>
      <name val="Calibri"/>
      <family val="2"/>
      <scheme val="minor"/>
    </font>
    <font>
      <b/>
      <sz val="1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5"/>
        <bgColor indexed="64"/>
      </patternFill>
    </fill>
    <fill>
      <patternFill patternType="solid">
        <fgColor rgb="FF00B050"/>
        <bgColor indexed="64"/>
      </patternFill>
    </fill>
    <fill>
      <patternFill patternType="solid">
        <fgColor theme="5" tint="0.399975585192419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9" tint="0.39997558519241921"/>
        <bgColor indexed="64"/>
      </patternFill>
    </fill>
  </fills>
  <borders count="9">
    <border>
      <left/>
      <right/>
      <top/>
      <bottom/>
      <diagonal/>
    </border>
    <border>
      <left style="medium">
        <color rgb="FFD9D9E3"/>
      </left>
      <right/>
      <top style="medium">
        <color rgb="FFD9D9E3"/>
      </top>
      <bottom style="medium">
        <color rgb="FFD9D9E3"/>
      </bottom>
      <diagonal/>
    </border>
    <border>
      <left style="medium">
        <color rgb="FFD9D9E3"/>
      </left>
      <right style="medium">
        <color rgb="FFD9D9E3"/>
      </right>
      <top style="medium">
        <color rgb="FFD9D9E3"/>
      </top>
      <bottom style="medium">
        <color rgb="FFD9D9E3"/>
      </bottom>
      <diagonal/>
    </border>
    <border>
      <left style="medium">
        <color rgb="FFD9D9E3"/>
      </left>
      <right/>
      <top/>
      <bottom style="medium">
        <color rgb="FFD9D9E3"/>
      </bottom>
      <diagonal/>
    </border>
    <border>
      <left style="medium">
        <color rgb="FFD9D9E3"/>
      </left>
      <right style="medium">
        <color rgb="FFD9D9E3"/>
      </right>
      <top/>
      <bottom style="medium">
        <color rgb="FFD9D9E3"/>
      </bottom>
      <diagonal/>
    </border>
    <border>
      <left/>
      <right/>
      <top/>
      <bottom style="medium">
        <color rgb="FFD9D9E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1">
    <xf numFmtId="0" fontId="0" fillId="0" borderId="0"/>
  </cellStyleXfs>
  <cellXfs count="44">
    <xf numFmtId="0" fontId="0" fillId="0" borderId="0" xfId="0"/>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0" fillId="2" borderId="0" xfId="0" applyFont="1" applyFill="1"/>
    <xf numFmtId="0" fontId="3" fillId="2" borderId="3" xfId="0" applyFont="1" applyFill="1" applyBorder="1" applyAlignment="1">
      <alignment vertical="center" wrapText="1"/>
    </xf>
    <xf numFmtId="0" fontId="3" fillId="2" borderId="4" xfId="0" applyFont="1" applyFill="1" applyBorder="1" applyAlignment="1">
      <alignment vertical="center" wrapText="1"/>
    </xf>
    <xf numFmtId="0" fontId="0" fillId="0" borderId="6" xfId="0" applyBorder="1"/>
    <xf numFmtId="0" fontId="2" fillId="2" borderId="3" xfId="0" applyFont="1" applyFill="1" applyBorder="1" applyAlignment="1">
      <alignment horizontal="center" wrapText="1"/>
    </xf>
    <xf numFmtId="0" fontId="2" fillId="2" borderId="4" xfId="0" applyFont="1" applyFill="1" applyBorder="1" applyAlignment="1">
      <alignment horizontal="center" wrapText="1"/>
    </xf>
    <xf numFmtId="0" fontId="5" fillId="3" borderId="6" xfId="0" applyFont="1" applyFill="1" applyBorder="1" applyAlignment="1">
      <alignment horizontal="center"/>
    </xf>
    <xf numFmtId="0" fontId="0" fillId="3" borderId="6" xfId="0" applyFill="1" applyBorder="1" applyAlignment="1">
      <alignment horizontal="center"/>
    </xf>
    <xf numFmtId="0" fontId="6" fillId="4" borderId="0" xfId="0" applyFont="1" applyFill="1" applyAlignment="1">
      <alignment horizontal="center" vertical="center"/>
    </xf>
    <xf numFmtId="0" fontId="5" fillId="3" borderId="0" xfId="0" applyFont="1" applyFill="1" applyAlignment="1">
      <alignment horizontal="center"/>
    </xf>
    <xf numFmtId="0" fontId="4" fillId="5" borderId="5" xfId="0" applyFont="1" applyFill="1" applyBorder="1" applyAlignment="1">
      <alignment horizontal="center"/>
    </xf>
    <xf numFmtId="0" fontId="2" fillId="2" borderId="6" xfId="0" applyFont="1" applyFill="1" applyBorder="1" applyAlignment="1">
      <alignment horizontal="center" wrapText="1"/>
    </xf>
    <xf numFmtId="0" fontId="7" fillId="6" borderId="6" xfId="0" applyFont="1" applyFill="1" applyBorder="1" applyAlignment="1">
      <alignment horizontal="center"/>
    </xf>
    <xf numFmtId="0" fontId="8" fillId="0" borderId="0" xfId="0" applyFont="1" applyAlignment="1">
      <alignment horizontal="center" vertical="center" wrapText="1"/>
    </xf>
    <xf numFmtId="0" fontId="9" fillId="2" borderId="1" xfId="0" applyFont="1" applyFill="1" applyBorder="1" applyAlignment="1">
      <alignment horizontal="center" wrapText="1"/>
    </xf>
    <xf numFmtId="0" fontId="9" fillId="2" borderId="2" xfId="0" applyFont="1" applyFill="1" applyBorder="1" applyAlignment="1">
      <alignment horizontal="center" wrapText="1"/>
    </xf>
    <xf numFmtId="0" fontId="10" fillId="2" borderId="3" xfId="0" applyFont="1" applyFill="1" applyBorder="1" applyAlignment="1">
      <alignment vertical="center" wrapText="1"/>
    </xf>
    <xf numFmtId="0" fontId="10" fillId="2" borderId="4" xfId="0" applyFont="1" applyFill="1" applyBorder="1" applyAlignment="1">
      <alignment vertical="center" wrapText="1"/>
    </xf>
    <xf numFmtId="0" fontId="11" fillId="0" borderId="0" xfId="0" applyFont="1"/>
    <xf numFmtId="0" fontId="11" fillId="5" borderId="5" xfId="0" applyFont="1" applyFill="1" applyBorder="1" applyAlignment="1">
      <alignment horizontal="center"/>
    </xf>
    <xf numFmtId="0" fontId="9" fillId="2" borderId="6" xfId="0" applyFont="1" applyFill="1" applyBorder="1" applyAlignment="1">
      <alignment horizontal="center" wrapText="1"/>
    </xf>
    <xf numFmtId="0" fontId="10" fillId="2" borderId="6" xfId="0" applyFont="1" applyFill="1" applyBorder="1" applyAlignment="1">
      <alignment vertical="center" wrapText="1"/>
    </xf>
    <xf numFmtId="0" fontId="9" fillId="2" borderId="0" xfId="0" applyFont="1" applyFill="1" applyBorder="1" applyAlignment="1">
      <alignment horizontal="center" wrapText="1"/>
    </xf>
    <xf numFmtId="0" fontId="10" fillId="2" borderId="0" xfId="0" applyFont="1" applyFill="1" applyBorder="1" applyAlignment="1">
      <alignment vertical="center" wrapText="1"/>
    </xf>
    <xf numFmtId="0" fontId="0" fillId="0" borderId="0" xfId="0" applyAlignment="1">
      <alignment horizontal="center" vertical="center" wrapText="1"/>
    </xf>
    <xf numFmtId="0" fontId="11" fillId="2" borderId="0" xfId="0" applyFont="1" applyFill="1" applyBorder="1" applyAlignment="1">
      <alignment horizontal="center"/>
    </xf>
    <xf numFmtId="0" fontId="1" fillId="5" borderId="6" xfId="0" applyFont="1" applyFill="1" applyBorder="1" applyAlignment="1">
      <alignment horizontal="center"/>
    </xf>
    <xf numFmtId="0" fontId="0" fillId="0" borderId="6" xfId="0" applyBorder="1" applyAlignment="1">
      <alignment horizontal="center" vertical="center" wrapText="1"/>
    </xf>
    <xf numFmtId="0" fontId="1" fillId="3" borderId="7" xfId="0" applyFont="1" applyFill="1" applyBorder="1" applyAlignment="1">
      <alignment horizontal="center"/>
    </xf>
    <xf numFmtId="0" fontId="0" fillId="0" borderId="6" xfId="0" applyBorder="1" applyAlignment="1">
      <alignment horizontal="center" wrapText="1"/>
    </xf>
    <xf numFmtId="0" fontId="0" fillId="0" borderId="0" xfId="0" applyBorder="1" applyAlignment="1">
      <alignment vertical="center" wrapText="1"/>
    </xf>
    <xf numFmtId="0" fontId="6" fillId="6" borderId="0" xfId="0" applyFont="1" applyFill="1" applyAlignment="1">
      <alignment horizontal="center"/>
    </xf>
    <xf numFmtId="0" fontId="6" fillId="6" borderId="8" xfId="0" applyFont="1" applyFill="1" applyBorder="1" applyAlignment="1">
      <alignment horizontal="center"/>
    </xf>
    <xf numFmtId="0" fontId="3" fillId="2" borderId="6" xfId="0" applyFont="1" applyFill="1" applyBorder="1" applyAlignment="1">
      <alignment vertical="center" wrapText="1"/>
    </xf>
    <xf numFmtId="0" fontId="9" fillId="2" borderId="3" xfId="0" applyFont="1" applyFill="1" applyBorder="1" applyAlignment="1">
      <alignment horizontal="center" wrapText="1"/>
    </xf>
    <xf numFmtId="0" fontId="9" fillId="2" borderId="4" xfId="0" applyFont="1" applyFill="1" applyBorder="1" applyAlignment="1">
      <alignment horizontal="center" wrapText="1"/>
    </xf>
    <xf numFmtId="0" fontId="11" fillId="5" borderId="6" xfId="0" applyFont="1" applyFill="1" applyBorder="1" applyAlignment="1">
      <alignment horizontal="center"/>
    </xf>
    <xf numFmtId="0" fontId="12" fillId="5" borderId="6" xfId="0" applyFont="1" applyFill="1" applyBorder="1" applyAlignment="1">
      <alignment horizontal="center"/>
    </xf>
    <xf numFmtId="0" fontId="11" fillId="8" borderId="0" xfId="0" applyFont="1" applyFill="1" applyAlignment="1">
      <alignment horizontal="center"/>
    </xf>
    <xf numFmtId="0" fontId="11" fillId="8" borderId="8" xfId="0" applyFont="1" applyFill="1" applyBorder="1" applyAlignment="1">
      <alignment horizontal="center"/>
    </xf>
    <xf numFmtId="0" fontId="1" fillId="7" borderId="6"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11864-4893-4247-B883-CF179D134CF1}">
  <dimension ref="B4:Q21"/>
  <sheetViews>
    <sheetView showGridLines="0" tabSelected="1" workbookViewId="0">
      <selection activeCell="H3" sqref="H3"/>
    </sheetView>
  </sheetViews>
  <sheetFormatPr defaultRowHeight="14.5" x14ac:dyDescent="0.35"/>
  <sheetData>
    <row r="4" spans="2:17" x14ac:dyDescent="0.35">
      <c r="B4" s="16" t="s">
        <v>45</v>
      </c>
      <c r="C4" s="16"/>
      <c r="D4" s="16"/>
      <c r="E4" s="16"/>
      <c r="F4" s="16"/>
      <c r="G4" s="16"/>
      <c r="H4" s="16"/>
      <c r="I4" s="16"/>
      <c r="J4" s="16"/>
      <c r="K4" s="16"/>
      <c r="L4" s="16"/>
      <c r="M4" s="16"/>
      <c r="N4" s="16"/>
      <c r="O4" s="16"/>
      <c r="P4" s="16"/>
      <c r="Q4" s="16"/>
    </row>
    <row r="5" spans="2:17" x14ac:dyDescent="0.35">
      <c r="B5" s="16"/>
      <c r="C5" s="16"/>
      <c r="D5" s="16"/>
      <c r="E5" s="16"/>
      <c r="F5" s="16"/>
      <c r="G5" s="16"/>
      <c r="H5" s="16"/>
      <c r="I5" s="16"/>
      <c r="J5" s="16"/>
      <c r="K5" s="16"/>
      <c r="L5" s="16"/>
      <c r="M5" s="16"/>
      <c r="N5" s="16"/>
      <c r="O5" s="16"/>
      <c r="P5" s="16"/>
      <c r="Q5" s="16"/>
    </row>
    <row r="6" spans="2:17" x14ac:dyDescent="0.35">
      <c r="B6" s="16"/>
      <c r="C6" s="16"/>
      <c r="D6" s="16"/>
      <c r="E6" s="16"/>
      <c r="F6" s="16"/>
      <c r="G6" s="16"/>
      <c r="H6" s="16"/>
      <c r="I6" s="16"/>
      <c r="J6" s="16"/>
      <c r="K6" s="16"/>
      <c r="L6" s="16"/>
      <c r="M6" s="16"/>
      <c r="N6" s="16"/>
      <c r="O6" s="16"/>
      <c r="P6" s="16"/>
      <c r="Q6" s="16"/>
    </row>
    <row r="7" spans="2:17" x14ac:dyDescent="0.35">
      <c r="B7" s="16"/>
      <c r="C7" s="16"/>
      <c r="D7" s="16"/>
      <c r="E7" s="16"/>
      <c r="F7" s="16"/>
      <c r="G7" s="16"/>
      <c r="H7" s="16"/>
      <c r="I7" s="16"/>
      <c r="J7" s="16"/>
      <c r="K7" s="16"/>
      <c r="L7" s="16"/>
      <c r="M7" s="16"/>
      <c r="N7" s="16"/>
      <c r="O7" s="16"/>
      <c r="P7" s="16"/>
      <c r="Q7" s="16"/>
    </row>
    <row r="8" spans="2:17" x14ac:dyDescent="0.35">
      <c r="B8" s="16"/>
      <c r="C8" s="16"/>
      <c r="D8" s="16"/>
      <c r="E8" s="16"/>
      <c r="F8" s="16"/>
      <c r="G8" s="16"/>
      <c r="H8" s="16"/>
      <c r="I8" s="16"/>
      <c r="J8" s="16"/>
      <c r="K8" s="16"/>
      <c r="L8" s="16"/>
      <c r="M8" s="16"/>
      <c r="N8" s="16"/>
      <c r="O8" s="16"/>
      <c r="P8" s="16"/>
      <c r="Q8" s="16"/>
    </row>
    <row r="9" spans="2:17" x14ac:dyDescent="0.35">
      <c r="B9" s="16"/>
      <c r="C9" s="16"/>
      <c r="D9" s="16"/>
      <c r="E9" s="16"/>
      <c r="F9" s="16"/>
      <c r="G9" s="16"/>
      <c r="H9" s="16"/>
      <c r="I9" s="16"/>
      <c r="J9" s="16"/>
      <c r="K9" s="16"/>
      <c r="L9" s="16"/>
      <c r="M9" s="16"/>
      <c r="N9" s="16"/>
      <c r="O9" s="16"/>
      <c r="P9" s="16"/>
      <c r="Q9" s="16"/>
    </row>
    <row r="10" spans="2:17" x14ac:dyDescent="0.35">
      <c r="B10" s="16"/>
      <c r="C10" s="16"/>
      <c r="D10" s="16"/>
      <c r="E10" s="16"/>
      <c r="F10" s="16"/>
      <c r="G10" s="16"/>
      <c r="H10" s="16"/>
      <c r="I10" s="16"/>
      <c r="J10" s="16"/>
      <c r="K10" s="16"/>
      <c r="L10" s="16"/>
      <c r="M10" s="16"/>
      <c r="N10" s="16"/>
      <c r="O10" s="16"/>
      <c r="P10" s="16"/>
      <c r="Q10" s="16"/>
    </row>
    <row r="11" spans="2:17" x14ac:dyDescent="0.35">
      <c r="B11" s="16"/>
      <c r="C11" s="16"/>
      <c r="D11" s="16"/>
      <c r="E11" s="16"/>
      <c r="F11" s="16"/>
      <c r="G11" s="16"/>
      <c r="H11" s="16"/>
      <c r="I11" s="16"/>
      <c r="J11" s="16"/>
      <c r="K11" s="16"/>
      <c r="L11" s="16"/>
      <c r="M11" s="16"/>
      <c r="N11" s="16"/>
      <c r="O11" s="16"/>
      <c r="P11" s="16"/>
      <c r="Q11" s="16"/>
    </row>
    <row r="12" spans="2:17" x14ac:dyDescent="0.35">
      <c r="B12" s="16"/>
      <c r="C12" s="16"/>
      <c r="D12" s="16"/>
      <c r="E12" s="16"/>
      <c r="F12" s="16"/>
      <c r="G12" s="16"/>
      <c r="H12" s="16"/>
      <c r="I12" s="16"/>
      <c r="J12" s="16"/>
      <c r="K12" s="16"/>
      <c r="L12" s="16"/>
      <c r="M12" s="16"/>
      <c r="N12" s="16"/>
      <c r="O12" s="16"/>
      <c r="P12" s="16"/>
      <c r="Q12" s="16"/>
    </row>
    <row r="13" spans="2:17" x14ac:dyDescent="0.35">
      <c r="B13" s="16"/>
      <c r="C13" s="16"/>
      <c r="D13" s="16"/>
      <c r="E13" s="16"/>
      <c r="F13" s="16"/>
      <c r="G13" s="16"/>
      <c r="H13" s="16"/>
      <c r="I13" s="16"/>
      <c r="J13" s="16"/>
      <c r="K13" s="16"/>
      <c r="L13" s="16"/>
      <c r="M13" s="16"/>
      <c r="N13" s="16"/>
      <c r="O13" s="16"/>
      <c r="P13" s="16"/>
      <c r="Q13" s="16"/>
    </row>
    <row r="14" spans="2:17" x14ac:dyDescent="0.35">
      <c r="B14" s="16"/>
      <c r="C14" s="16"/>
      <c r="D14" s="16"/>
      <c r="E14" s="16"/>
      <c r="F14" s="16"/>
      <c r="G14" s="16"/>
      <c r="H14" s="16"/>
      <c r="I14" s="16"/>
      <c r="J14" s="16"/>
      <c r="K14" s="16"/>
      <c r="L14" s="16"/>
      <c r="M14" s="16"/>
      <c r="N14" s="16"/>
      <c r="O14" s="16"/>
      <c r="P14" s="16"/>
      <c r="Q14" s="16"/>
    </row>
    <row r="15" spans="2:17" x14ac:dyDescent="0.35">
      <c r="B15" s="16"/>
      <c r="C15" s="16"/>
      <c r="D15" s="16"/>
      <c r="E15" s="16"/>
      <c r="F15" s="16"/>
      <c r="G15" s="16"/>
      <c r="H15" s="16"/>
      <c r="I15" s="16"/>
      <c r="J15" s="16"/>
      <c r="K15" s="16"/>
      <c r="L15" s="16"/>
      <c r="M15" s="16"/>
      <c r="N15" s="16"/>
      <c r="O15" s="16"/>
      <c r="P15" s="16"/>
      <c r="Q15" s="16"/>
    </row>
    <row r="16" spans="2:17" x14ac:dyDescent="0.35">
      <c r="B16" s="16"/>
      <c r="C16" s="16"/>
      <c r="D16" s="16"/>
      <c r="E16" s="16"/>
      <c r="F16" s="16"/>
      <c r="G16" s="16"/>
      <c r="H16" s="16"/>
      <c r="I16" s="16"/>
      <c r="J16" s="16"/>
      <c r="K16" s="16"/>
      <c r="L16" s="16"/>
      <c r="M16" s="16"/>
      <c r="N16" s="16"/>
      <c r="O16" s="16"/>
      <c r="P16" s="16"/>
      <c r="Q16" s="16"/>
    </row>
    <row r="17" spans="2:17" x14ac:dyDescent="0.35">
      <c r="B17" s="16"/>
      <c r="C17" s="16"/>
      <c r="D17" s="16"/>
      <c r="E17" s="16"/>
      <c r="F17" s="16"/>
      <c r="G17" s="16"/>
      <c r="H17" s="16"/>
      <c r="I17" s="16"/>
      <c r="J17" s="16"/>
      <c r="K17" s="16"/>
      <c r="L17" s="16"/>
      <c r="M17" s="16"/>
      <c r="N17" s="16"/>
      <c r="O17" s="16"/>
      <c r="P17" s="16"/>
      <c r="Q17" s="16"/>
    </row>
    <row r="18" spans="2:17" x14ac:dyDescent="0.35">
      <c r="B18" s="16"/>
      <c r="C18" s="16"/>
      <c r="D18" s="16"/>
      <c r="E18" s="16"/>
      <c r="F18" s="16"/>
      <c r="G18" s="16"/>
      <c r="H18" s="16"/>
      <c r="I18" s="16"/>
      <c r="J18" s="16"/>
      <c r="K18" s="16"/>
      <c r="L18" s="16"/>
      <c r="M18" s="16"/>
      <c r="N18" s="16"/>
      <c r="O18" s="16"/>
      <c r="P18" s="16"/>
      <c r="Q18" s="16"/>
    </row>
    <row r="19" spans="2:17" x14ac:dyDescent="0.35">
      <c r="B19" s="16"/>
      <c r="C19" s="16"/>
      <c r="D19" s="16"/>
      <c r="E19" s="16"/>
      <c r="F19" s="16"/>
      <c r="G19" s="16"/>
      <c r="H19" s="16"/>
      <c r="I19" s="16"/>
      <c r="J19" s="16"/>
      <c r="K19" s="16"/>
      <c r="L19" s="16"/>
      <c r="M19" s="16"/>
      <c r="N19" s="16"/>
      <c r="O19" s="16"/>
      <c r="P19" s="16"/>
      <c r="Q19" s="16"/>
    </row>
    <row r="20" spans="2:17" x14ac:dyDescent="0.35">
      <c r="B20" s="16"/>
      <c r="C20" s="16"/>
      <c r="D20" s="16"/>
      <c r="E20" s="16"/>
      <c r="F20" s="16"/>
      <c r="G20" s="16"/>
      <c r="H20" s="16"/>
      <c r="I20" s="16"/>
      <c r="J20" s="16"/>
      <c r="K20" s="16"/>
      <c r="L20" s="16"/>
      <c r="M20" s="16"/>
      <c r="N20" s="16"/>
      <c r="O20" s="16"/>
      <c r="P20" s="16"/>
      <c r="Q20" s="16"/>
    </row>
    <row r="21" spans="2:17" x14ac:dyDescent="0.35">
      <c r="B21" s="16"/>
      <c r="C21" s="16"/>
      <c r="D21" s="16"/>
      <c r="E21" s="16"/>
      <c r="F21" s="16"/>
      <c r="G21" s="16"/>
      <c r="H21" s="16"/>
      <c r="I21" s="16"/>
      <c r="J21" s="16"/>
      <c r="K21" s="16"/>
      <c r="L21" s="16"/>
      <c r="M21" s="16"/>
      <c r="N21" s="16"/>
      <c r="O21" s="16"/>
      <c r="P21" s="16"/>
      <c r="Q21" s="16"/>
    </row>
  </sheetData>
  <mergeCells count="1">
    <mergeCell ref="B4:Q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FC502-2E48-48E0-8CC6-DF66DE8E9477}">
  <dimension ref="A1:N16"/>
  <sheetViews>
    <sheetView showGridLines="0" zoomScale="90" zoomScaleNormal="90" workbookViewId="0">
      <selection activeCell="Q15" sqref="Q15"/>
    </sheetView>
  </sheetViews>
  <sheetFormatPr defaultColWidth="9.36328125" defaultRowHeight="14.5" x14ac:dyDescent="0.35"/>
  <cols>
    <col min="11" max="11" width="11.81640625" customWidth="1"/>
  </cols>
  <sheetData>
    <row r="1" spans="1:14" ht="26.5" thickBot="1" x14ac:dyDescent="0.65">
      <c r="A1" s="22" t="s">
        <v>14</v>
      </c>
      <c r="B1" s="22"/>
      <c r="C1" s="22"/>
      <c r="E1" s="22" t="s">
        <v>15</v>
      </c>
      <c r="F1" s="22"/>
      <c r="G1" s="22"/>
      <c r="I1" s="22" t="s">
        <v>44</v>
      </c>
      <c r="J1" s="22"/>
      <c r="K1" s="22"/>
      <c r="L1" s="22"/>
      <c r="M1" s="22"/>
      <c r="N1" s="22"/>
    </row>
    <row r="2" spans="1:14" ht="27.5" thickBot="1" x14ac:dyDescent="0.4">
      <c r="A2" s="17" t="s">
        <v>18</v>
      </c>
      <c r="B2" s="17" t="s">
        <v>55</v>
      </c>
      <c r="C2" s="18" t="s">
        <v>46</v>
      </c>
      <c r="E2" s="17" t="s">
        <v>17</v>
      </c>
      <c r="F2" s="17" t="s">
        <v>18</v>
      </c>
      <c r="G2" s="18" t="s">
        <v>20</v>
      </c>
      <c r="I2" s="17" t="s">
        <v>17</v>
      </c>
      <c r="J2" s="17" t="s">
        <v>18</v>
      </c>
      <c r="K2" s="17" t="s">
        <v>55</v>
      </c>
      <c r="L2" s="17" t="s">
        <v>46</v>
      </c>
      <c r="M2" s="17" t="s">
        <v>20</v>
      </c>
      <c r="N2" s="18" t="s">
        <v>47</v>
      </c>
    </row>
    <row r="3" spans="1:14" ht="15" thickBot="1" x14ac:dyDescent="0.4">
      <c r="A3" s="19" t="s">
        <v>56</v>
      </c>
      <c r="B3" s="19" t="s">
        <v>57</v>
      </c>
      <c r="C3" s="20">
        <v>100</v>
      </c>
      <c r="E3" s="19">
        <v>1</v>
      </c>
      <c r="F3" s="19" t="s">
        <v>58</v>
      </c>
      <c r="G3" s="20">
        <v>2</v>
      </c>
      <c r="I3" s="19">
        <v>1</v>
      </c>
      <c r="J3" s="19" t="s">
        <v>58</v>
      </c>
      <c r="K3" s="19" t="s">
        <v>59</v>
      </c>
      <c r="L3" s="19" t="s">
        <v>48</v>
      </c>
      <c r="M3" s="19">
        <v>2</v>
      </c>
      <c r="N3" s="20" t="s">
        <v>48</v>
      </c>
    </row>
    <row r="4" spans="1:14" ht="15" thickBot="1" x14ac:dyDescent="0.4">
      <c r="A4" s="19" t="s">
        <v>58</v>
      </c>
      <c r="B4" s="19" t="s">
        <v>59</v>
      </c>
      <c r="C4" s="20">
        <v>50</v>
      </c>
      <c r="E4" s="19">
        <v>2</v>
      </c>
      <c r="F4" s="19" t="s">
        <v>56</v>
      </c>
      <c r="G4" s="20">
        <v>3</v>
      </c>
      <c r="I4" s="19">
        <v>2</v>
      </c>
      <c r="J4" s="19" t="s">
        <v>56</v>
      </c>
      <c r="K4" s="19" t="s">
        <v>57</v>
      </c>
      <c r="L4" s="19" t="s">
        <v>48</v>
      </c>
      <c r="M4" s="19">
        <v>3</v>
      </c>
      <c r="N4" s="20" t="s">
        <v>48</v>
      </c>
    </row>
    <row r="5" spans="1:14" ht="15" thickBot="1" x14ac:dyDescent="0.4">
      <c r="A5" s="19" t="s">
        <v>60</v>
      </c>
      <c r="B5" s="19" t="s">
        <v>57</v>
      </c>
      <c r="C5" s="20">
        <v>80</v>
      </c>
      <c r="E5" s="19">
        <v>3</v>
      </c>
      <c r="F5" s="19" t="s">
        <v>61</v>
      </c>
      <c r="G5" s="20">
        <v>1</v>
      </c>
      <c r="I5" s="19">
        <v>3</v>
      </c>
      <c r="J5" s="19" t="s">
        <v>61</v>
      </c>
      <c r="K5" s="19" t="s">
        <v>62</v>
      </c>
      <c r="L5" s="19" t="s">
        <v>48</v>
      </c>
      <c r="M5" s="19">
        <v>1</v>
      </c>
      <c r="N5" s="20" t="s">
        <v>48</v>
      </c>
    </row>
    <row r="6" spans="1:14" ht="15" thickBot="1" x14ac:dyDescent="0.4">
      <c r="A6" s="19" t="s">
        <v>61</v>
      </c>
      <c r="B6" s="19" t="s">
        <v>62</v>
      </c>
      <c r="C6" s="20">
        <v>200</v>
      </c>
      <c r="E6" s="19">
        <v>4</v>
      </c>
      <c r="F6" s="19" t="s">
        <v>60</v>
      </c>
      <c r="G6" s="20">
        <v>5</v>
      </c>
      <c r="I6" s="19">
        <v>4</v>
      </c>
      <c r="J6" s="19" t="s">
        <v>60</v>
      </c>
      <c r="K6" s="19" t="s">
        <v>57</v>
      </c>
      <c r="L6" s="19" t="s">
        <v>48</v>
      </c>
      <c r="M6" s="19">
        <v>5</v>
      </c>
      <c r="N6" s="20" t="s">
        <v>48</v>
      </c>
    </row>
    <row r="7" spans="1:14" ht="15" thickBot="1" x14ac:dyDescent="0.4">
      <c r="A7" s="19" t="s">
        <v>63</v>
      </c>
      <c r="B7" s="19" t="s">
        <v>59</v>
      </c>
      <c r="C7" s="20">
        <v>75</v>
      </c>
      <c r="E7" s="19">
        <v>5</v>
      </c>
      <c r="F7" s="19" t="s">
        <v>63</v>
      </c>
      <c r="G7" s="20">
        <v>2</v>
      </c>
      <c r="I7" s="19">
        <v>5</v>
      </c>
      <c r="J7" s="19" t="s">
        <v>63</v>
      </c>
      <c r="K7" s="19" t="s">
        <v>59</v>
      </c>
      <c r="L7" s="19" t="s">
        <v>48</v>
      </c>
      <c r="M7" s="19">
        <v>2</v>
      </c>
      <c r="N7" s="20" t="s">
        <v>48</v>
      </c>
    </row>
    <row r="9" spans="1:14" x14ac:dyDescent="0.35">
      <c r="B9" s="43" t="s">
        <v>50</v>
      </c>
      <c r="C9" s="43"/>
      <c r="D9" s="43"/>
      <c r="E9" s="43"/>
      <c r="I9" s="41" t="s">
        <v>54</v>
      </c>
      <c r="J9" s="41"/>
      <c r="K9" s="41"/>
      <c r="L9" s="41"/>
      <c r="M9" s="41"/>
      <c r="N9" s="41"/>
    </row>
    <row r="10" spans="1:14" x14ac:dyDescent="0.35">
      <c r="A10" s="30" t="s">
        <v>64</v>
      </c>
      <c r="B10" s="30"/>
      <c r="C10" s="30"/>
      <c r="D10" s="30"/>
      <c r="E10" s="30"/>
      <c r="F10" s="30"/>
      <c r="I10" s="42"/>
      <c r="J10" s="42"/>
      <c r="K10" s="42"/>
      <c r="L10" s="42"/>
      <c r="M10" s="42"/>
      <c r="N10" s="42"/>
    </row>
    <row r="11" spans="1:14" ht="27" x14ac:dyDescent="0.35">
      <c r="A11" s="30"/>
      <c r="B11" s="30"/>
      <c r="C11" s="30"/>
      <c r="D11" s="30"/>
      <c r="E11" s="30"/>
      <c r="F11" s="30"/>
      <c r="I11" s="23" t="s">
        <v>17</v>
      </c>
      <c r="J11" s="23" t="s">
        <v>18</v>
      </c>
      <c r="K11" s="23" t="s">
        <v>55</v>
      </c>
      <c r="L11" s="23" t="s">
        <v>46</v>
      </c>
      <c r="M11" s="23" t="s">
        <v>20</v>
      </c>
      <c r="N11" s="23" t="s">
        <v>47</v>
      </c>
    </row>
    <row r="12" spans="1:14" x14ac:dyDescent="0.35">
      <c r="A12" s="30"/>
      <c r="B12" s="30"/>
      <c r="C12" s="30"/>
      <c r="D12" s="30"/>
      <c r="E12" s="30"/>
      <c r="F12" s="30"/>
      <c r="I12" s="24">
        <v>1</v>
      </c>
      <c r="J12" s="6" t="str">
        <f>VLOOKUP(I12,$E$3:$G$7,2,FALSE)</f>
        <v>P002</v>
      </c>
      <c r="K12" s="6" t="str">
        <f>VLOOKUP(J12,$A$3:$C$7,2)</f>
        <v>Clothing</v>
      </c>
      <c r="L12" s="6">
        <f>VLOOKUP(J12,$A$3:$C$7,3)</f>
        <v>50</v>
      </c>
      <c r="M12" s="6">
        <f>VLOOKUP(I12,$E$3:$G$7,3)</f>
        <v>2</v>
      </c>
      <c r="N12" s="6">
        <f>L12*M12</f>
        <v>100</v>
      </c>
    </row>
    <row r="13" spans="1:14" x14ac:dyDescent="0.35">
      <c r="A13" s="30"/>
      <c r="B13" s="30"/>
      <c r="C13" s="30"/>
      <c r="D13" s="30"/>
      <c r="E13" s="30"/>
      <c r="F13" s="30"/>
      <c r="I13" s="24">
        <v>2</v>
      </c>
      <c r="J13" s="6" t="str">
        <f t="shared" ref="J13:J16" si="0">VLOOKUP(I13,$E$3:$G$7,2,FALSE)</f>
        <v>P001</v>
      </c>
      <c r="K13" s="6" t="str">
        <f t="shared" ref="K13:K16" si="1">VLOOKUP(J13,$A$3:$C$7,2)</f>
        <v>Electronics</v>
      </c>
      <c r="L13" s="6">
        <f t="shared" ref="L13:L16" si="2">VLOOKUP(J13,$A$3:$C$7,3)</f>
        <v>100</v>
      </c>
      <c r="M13" s="6">
        <f t="shared" ref="M13:M16" si="3">VLOOKUP(I13,$E$3:$G$7,3)</f>
        <v>3</v>
      </c>
      <c r="N13" s="6">
        <f t="shared" ref="N13:N16" si="4">L13*M13</f>
        <v>300</v>
      </c>
    </row>
    <row r="14" spans="1:14" x14ac:dyDescent="0.35">
      <c r="A14" s="30"/>
      <c r="B14" s="30"/>
      <c r="C14" s="30"/>
      <c r="D14" s="30"/>
      <c r="E14" s="30"/>
      <c r="F14" s="30"/>
      <c r="I14" s="24">
        <v>3</v>
      </c>
      <c r="J14" s="6" t="str">
        <f t="shared" si="0"/>
        <v>P004</v>
      </c>
      <c r="K14" s="6" t="str">
        <f t="shared" si="1"/>
        <v>Furniture</v>
      </c>
      <c r="L14" s="6">
        <f t="shared" si="2"/>
        <v>200</v>
      </c>
      <c r="M14" s="6">
        <f t="shared" si="3"/>
        <v>1</v>
      </c>
      <c r="N14" s="6">
        <f t="shared" si="4"/>
        <v>200</v>
      </c>
    </row>
    <row r="15" spans="1:14" x14ac:dyDescent="0.35">
      <c r="A15" s="30"/>
      <c r="B15" s="30"/>
      <c r="C15" s="30"/>
      <c r="D15" s="30"/>
      <c r="E15" s="30"/>
      <c r="F15" s="30"/>
      <c r="I15" s="24">
        <v>4</v>
      </c>
      <c r="J15" s="6" t="str">
        <f t="shared" si="0"/>
        <v>P003</v>
      </c>
      <c r="K15" s="6" t="str">
        <f t="shared" si="1"/>
        <v>Electronics</v>
      </c>
      <c r="L15" s="6">
        <f t="shared" si="2"/>
        <v>80</v>
      </c>
      <c r="M15" s="6">
        <f t="shared" si="3"/>
        <v>5</v>
      </c>
      <c r="N15" s="6">
        <f t="shared" si="4"/>
        <v>400</v>
      </c>
    </row>
    <row r="16" spans="1:14" x14ac:dyDescent="0.35">
      <c r="I16" s="24">
        <v>5</v>
      </c>
      <c r="J16" s="6" t="str">
        <f t="shared" si="0"/>
        <v>P005</v>
      </c>
      <c r="K16" s="6" t="str">
        <f t="shared" si="1"/>
        <v>Clothing</v>
      </c>
      <c r="L16" s="6">
        <f t="shared" si="2"/>
        <v>75</v>
      </c>
      <c r="M16" s="6">
        <f t="shared" si="3"/>
        <v>2</v>
      </c>
      <c r="N16" s="6">
        <f t="shared" si="4"/>
        <v>150</v>
      </c>
    </row>
  </sheetData>
  <mergeCells count="6">
    <mergeCell ref="I1:N1"/>
    <mergeCell ref="E1:G1"/>
    <mergeCell ref="A1:C1"/>
    <mergeCell ref="I9:N10"/>
    <mergeCell ref="A10:F15"/>
    <mergeCell ref="B9:E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showGridLines="0" zoomScale="90" zoomScaleNormal="90" workbookViewId="0">
      <selection activeCell="J19" sqref="J19"/>
    </sheetView>
  </sheetViews>
  <sheetFormatPr defaultColWidth="13.26953125" defaultRowHeight="14.5" x14ac:dyDescent="0.35"/>
  <cols>
    <col min="1" max="1" width="11.36328125" bestFit="1" customWidth="1"/>
    <col min="2" max="2" width="11.54296875" bestFit="1" customWidth="1"/>
    <col min="6" max="6" width="19.1796875" customWidth="1"/>
    <col min="11" max="11" width="16.54296875" customWidth="1"/>
  </cols>
  <sheetData>
    <row r="1" spans="1:13" ht="33.5" customHeight="1" thickBot="1" x14ac:dyDescent="0.8">
      <c r="A1" s="9" t="s">
        <v>14</v>
      </c>
      <c r="B1" s="10"/>
      <c r="E1" s="9" t="s">
        <v>15</v>
      </c>
      <c r="F1" s="10"/>
      <c r="I1" s="12" t="s">
        <v>16</v>
      </c>
      <c r="J1" s="12"/>
      <c r="K1" s="12"/>
    </row>
    <row r="2" spans="1:13" ht="27.5" thickBot="1" x14ac:dyDescent="0.4">
      <c r="A2" s="7" t="s">
        <v>0</v>
      </c>
      <c r="B2" s="8" t="s">
        <v>1</v>
      </c>
      <c r="C2" s="3"/>
      <c r="D2" s="3"/>
      <c r="E2" s="1" t="s">
        <v>7</v>
      </c>
      <c r="F2" s="2" t="s">
        <v>8</v>
      </c>
      <c r="I2" s="1" t="s">
        <v>0</v>
      </c>
      <c r="J2" s="1" t="s">
        <v>1</v>
      </c>
      <c r="K2" s="6" t="s">
        <v>8</v>
      </c>
    </row>
    <row r="3" spans="1:13" ht="15" thickBot="1" x14ac:dyDescent="0.4">
      <c r="A3" s="4">
        <v>101</v>
      </c>
      <c r="B3" s="5" t="s">
        <v>2</v>
      </c>
      <c r="C3" s="3"/>
      <c r="D3" s="3"/>
      <c r="E3" s="4">
        <v>1</v>
      </c>
      <c r="F3" s="5" t="s">
        <v>9</v>
      </c>
      <c r="I3" s="4">
        <v>101</v>
      </c>
      <c r="J3" s="4" t="s">
        <v>2</v>
      </c>
      <c r="K3" s="6" t="s">
        <v>9</v>
      </c>
    </row>
    <row r="4" spans="1:13" ht="15" thickBot="1" x14ac:dyDescent="0.4">
      <c r="A4" s="4">
        <v>102</v>
      </c>
      <c r="B4" s="5" t="s">
        <v>3</v>
      </c>
      <c r="C4" s="3"/>
      <c r="D4" s="3"/>
      <c r="E4" s="4">
        <v>2</v>
      </c>
      <c r="F4" s="5" t="s">
        <v>10</v>
      </c>
      <c r="I4" s="4">
        <v>102</v>
      </c>
      <c r="J4" s="4" t="s">
        <v>3</v>
      </c>
      <c r="K4" s="6" t="s">
        <v>10</v>
      </c>
    </row>
    <row r="5" spans="1:13" ht="15" thickBot="1" x14ac:dyDescent="0.4">
      <c r="A5" s="4">
        <v>103</v>
      </c>
      <c r="B5" s="5" t="s">
        <v>4</v>
      </c>
      <c r="C5" s="3"/>
      <c r="D5" s="3"/>
      <c r="E5" s="4">
        <v>3</v>
      </c>
      <c r="F5" s="5" t="s">
        <v>11</v>
      </c>
      <c r="I5" s="4">
        <v>103</v>
      </c>
      <c r="J5" s="4" t="s">
        <v>4</v>
      </c>
      <c r="K5" s="6" t="s">
        <v>11</v>
      </c>
    </row>
    <row r="6" spans="1:13" ht="15" thickBot="1" x14ac:dyDescent="0.4">
      <c r="A6" s="4">
        <v>104</v>
      </c>
      <c r="B6" s="5" t="s">
        <v>5</v>
      </c>
      <c r="C6" s="3"/>
      <c r="D6" s="3"/>
      <c r="E6" s="4">
        <v>4</v>
      </c>
      <c r="F6" s="5" t="s">
        <v>12</v>
      </c>
      <c r="I6" s="4">
        <v>104</v>
      </c>
      <c r="J6" s="4" t="s">
        <v>5</v>
      </c>
      <c r="K6" s="6" t="s">
        <v>12</v>
      </c>
    </row>
    <row r="7" spans="1:13" ht="15" thickBot="1" x14ac:dyDescent="0.4">
      <c r="A7" s="4">
        <v>105</v>
      </c>
      <c r="B7" s="5" t="s">
        <v>6</v>
      </c>
      <c r="C7" s="3"/>
      <c r="D7" s="3"/>
      <c r="E7" s="4">
        <v>5</v>
      </c>
      <c r="F7" s="5" t="s">
        <v>13</v>
      </c>
      <c r="I7" s="4">
        <v>105</v>
      </c>
      <c r="J7" s="4" t="s">
        <v>6</v>
      </c>
      <c r="K7" s="6" t="s">
        <v>13</v>
      </c>
    </row>
    <row r="10" spans="1:13" ht="17" customHeight="1" x14ac:dyDescent="0.35">
      <c r="D10" s="11" t="s">
        <v>54</v>
      </c>
      <c r="E10" s="11"/>
      <c r="F10" s="11"/>
      <c r="J10" s="31" t="s">
        <v>50</v>
      </c>
      <c r="K10" s="31"/>
      <c r="L10" s="31"/>
    </row>
    <row r="11" spans="1:13" x14ac:dyDescent="0.35">
      <c r="D11" s="11"/>
      <c r="E11" s="11"/>
      <c r="F11" s="11"/>
      <c r="I11" s="32" t="s">
        <v>51</v>
      </c>
      <c r="J11" s="32"/>
      <c r="K11" s="32"/>
      <c r="L11" s="32"/>
      <c r="M11" s="32"/>
    </row>
    <row r="12" spans="1:13" ht="27" x14ac:dyDescent="0.35">
      <c r="D12" s="14" t="s">
        <v>0</v>
      </c>
      <c r="E12" s="14" t="s">
        <v>1</v>
      </c>
      <c r="F12" s="6" t="str">
        <f>F2</f>
        <v>Department Name</v>
      </c>
      <c r="I12" s="32"/>
      <c r="J12" s="32"/>
      <c r="K12" s="32"/>
      <c r="L12" s="32"/>
      <c r="M12" s="32"/>
    </row>
    <row r="13" spans="1:13" x14ac:dyDescent="0.35">
      <c r="D13" s="36">
        <v>101</v>
      </c>
      <c r="E13" s="36" t="s">
        <v>2</v>
      </c>
      <c r="F13" s="6" t="str">
        <f>VLOOKUP(_xlfn.NUMBERVALUE(RIGHT(D13,2)),$E$2:$F$7,2)</f>
        <v>Sales</v>
      </c>
      <c r="I13" s="32"/>
      <c r="J13" s="32"/>
      <c r="K13" s="32"/>
      <c r="L13" s="32"/>
      <c r="M13" s="32"/>
    </row>
    <row r="14" spans="1:13" x14ac:dyDescent="0.35">
      <c r="D14" s="36">
        <v>102</v>
      </c>
      <c r="E14" s="36" t="s">
        <v>3</v>
      </c>
      <c r="F14" s="6" t="str">
        <f t="shared" ref="F14:F17" si="0">VLOOKUP(_xlfn.NUMBERVALUE(RIGHT(D14,2)),$E$2:$F$7,2)</f>
        <v>Marketing</v>
      </c>
      <c r="I14" s="32"/>
      <c r="J14" s="32"/>
      <c r="K14" s="32"/>
      <c r="L14" s="32"/>
      <c r="M14" s="32"/>
    </row>
    <row r="15" spans="1:13" x14ac:dyDescent="0.35">
      <c r="D15" s="36">
        <v>103</v>
      </c>
      <c r="E15" s="36" t="s">
        <v>4</v>
      </c>
      <c r="F15" s="6" t="str">
        <f t="shared" si="0"/>
        <v>Finance</v>
      </c>
    </row>
    <row r="16" spans="1:13" x14ac:dyDescent="0.35">
      <c r="D16" s="36">
        <v>104</v>
      </c>
      <c r="E16" s="36" t="s">
        <v>5</v>
      </c>
      <c r="F16" s="6" t="str">
        <f t="shared" si="0"/>
        <v>HR</v>
      </c>
    </row>
    <row r="17" spans="4:6" x14ac:dyDescent="0.35">
      <c r="D17" s="36">
        <v>105</v>
      </c>
      <c r="E17" s="36" t="s">
        <v>6</v>
      </c>
      <c r="F17" s="6" t="str">
        <f t="shared" si="0"/>
        <v>Operations</v>
      </c>
    </row>
  </sheetData>
  <mergeCells count="6">
    <mergeCell ref="A1:B1"/>
    <mergeCell ref="E1:F1"/>
    <mergeCell ref="D10:F11"/>
    <mergeCell ref="I1:K1"/>
    <mergeCell ref="I11:M14"/>
    <mergeCell ref="J10:L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E53B-3131-423E-8DD5-6E702E970DF1}">
  <dimension ref="A1:N17"/>
  <sheetViews>
    <sheetView showGridLines="0" workbookViewId="0">
      <selection activeCell="R10" sqref="R10"/>
    </sheetView>
  </sheetViews>
  <sheetFormatPr defaultRowHeight="14.5" x14ac:dyDescent="0.35"/>
  <cols>
    <col min="11" max="11" width="9.54296875" customWidth="1"/>
  </cols>
  <sheetData>
    <row r="1" spans="1:14" ht="31.5" customHeight="1" thickBot="1" x14ac:dyDescent="0.65">
      <c r="A1" s="39" t="s">
        <v>14</v>
      </c>
      <c r="B1" s="39"/>
      <c r="C1" s="39"/>
      <c r="E1" s="28"/>
      <c r="F1" s="39" t="s">
        <v>15</v>
      </c>
      <c r="G1" s="39"/>
      <c r="H1" s="39"/>
      <c r="J1" s="22" t="s">
        <v>44</v>
      </c>
      <c r="K1" s="22"/>
      <c r="L1" s="22"/>
      <c r="M1" s="22"/>
      <c r="N1" s="22"/>
    </row>
    <row r="2" spans="1:14" ht="27.5" thickBot="1" x14ac:dyDescent="0.4">
      <c r="A2" s="37" t="s">
        <v>17</v>
      </c>
      <c r="B2" s="37" t="s">
        <v>18</v>
      </c>
      <c r="C2" s="38" t="s">
        <v>20</v>
      </c>
      <c r="E2" s="25"/>
      <c r="F2" s="37" t="s">
        <v>18</v>
      </c>
      <c r="G2" s="37" t="s">
        <v>31</v>
      </c>
      <c r="H2" s="38" t="s">
        <v>46</v>
      </c>
      <c r="J2" s="17" t="s">
        <v>17</v>
      </c>
      <c r="K2" s="17" t="s">
        <v>31</v>
      </c>
      <c r="L2" s="17" t="s">
        <v>20</v>
      </c>
      <c r="M2" s="17" t="s">
        <v>46</v>
      </c>
      <c r="N2" s="18" t="s">
        <v>47</v>
      </c>
    </row>
    <row r="3" spans="1:14" ht="14" customHeight="1" thickBot="1" x14ac:dyDescent="0.4">
      <c r="A3" s="19">
        <v>1</v>
      </c>
      <c r="B3" s="19" t="s">
        <v>21</v>
      </c>
      <c r="C3" s="20">
        <v>10</v>
      </c>
      <c r="E3" s="26"/>
      <c r="F3" s="19" t="s">
        <v>21</v>
      </c>
      <c r="G3" s="19" t="s">
        <v>32</v>
      </c>
      <c r="H3" s="20">
        <v>10.99</v>
      </c>
      <c r="J3" s="19">
        <v>1</v>
      </c>
      <c r="K3" s="19" t="s">
        <v>32</v>
      </c>
      <c r="L3" s="19">
        <v>10</v>
      </c>
      <c r="M3" s="19">
        <v>10.99</v>
      </c>
      <c r="N3" s="20" t="s">
        <v>48</v>
      </c>
    </row>
    <row r="4" spans="1:14" ht="14" customHeight="1" thickBot="1" x14ac:dyDescent="0.4">
      <c r="A4" s="19">
        <v>2</v>
      </c>
      <c r="B4" s="19" t="s">
        <v>23</v>
      </c>
      <c r="C4" s="20">
        <v>5</v>
      </c>
      <c r="E4" s="26"/>
      <c r="F4" s="19" t="s">
        <v>23</v>
      </c>
      <c r="G4" s="19" t="s">
        <v>33</v>
      </c>
      <c r="H4" s="20">
        <v>12.5</v>
      </c>
      <c r="J4" s="19">
        <v>2</v>
      </c>
      <c r="K4" s="19" t="s">
        <v>33</v>
      </c>
      <c r="L4" s="19">
        <v>5</v>
      </c>
      <c r="M4" s="19">
        <v>12.5</v>
      </c>
      <c r="N4" s="20" t="s">
        <v>48</v>
      </c>
    </row>
    <row r="5" spans="1:14" ht="14" customHeight="1" thickBot="1" x14ac:dyDescent="0.4">
      <c r="A5" s="19">
        <v>3</v>
      </c>
      <c r="B5" s="19" t="s">
        <v>25</v>
      </c>
      <c r="C5" s="20">
        <v>8</v>
      </c>
      <c r="E5" s="26"/>
      <c r="F5" s="19" t="s">
        <v>25</v>
      </c>
      <c r="G5" s="19" t="s">
        <v>34</v>
      </c>
      <c r="H5" s="20">
        <v>8.75</v>
      </c>
      <c r="J5" s="19">
        <v>3</v>
      </c>
      <c r="K5" s="19" t="s">
        <v>34</v>
      </c>
      <c r="L5" s="19">
        <v>8</v>
      </c>
      <c r="M5" s="19">
        <v>8.75</v>
      </c>
      <c r="N5" s="20" t="s">
        <v>48</v>
      </c>
    </row>
    <row r="6" spans="1:14" ht="14" customHeight="1" thickBot="1" x14ac:dyDescent="0.4">
      <c r="A6" s="19">
        <v>4</v>
      </c>
      <c r="B6" s="19" t="s">
        <v>27</v>
      </c>
      <c r="C6" s="20">
        <v>12</v>
      </c>
      <c r="E6" s="26"/>
      <c r="F6" s="19" t="s">
        <v>27</v>
      </c>
      <c r="G6" s="19" t="s">
        <v>35</v>
      </c>
      <c r="H6" s="20">
        <v>15.25</v>
      </c>
      <c r="J6" s="19">
        <v>4</v>
      </c>
      <c r="K6" s="19" t="s">
        <v>35</v>
      </c>
      <c r="L6" s="19">
        <v>12</v>
      </c>
      <c r="M6" s="19">
        <v>15.25</v>
      </c>
      <c r="N6" s="20" t="s">
        <v>48</v>
      </c>
    </row>
    <row r="7" spans="1:14" ht="14" customHeight="1" thickBot="1" x14ac:dyDescent="0.4">
      <c r="A7" s="19">
        <v>5</v>
      </c>
      <c r="B7" s="19" t="s">
        <v>29</v>
      </c>
      <c r="C7" s="20">
        <v>15</v>
      </c>
      <c r="E7" s="26"/>
      <c r="F7" s="19" t="s">
        <v>29</v>
      </c>
      <c r="G7" s="19" t="s">
        <v>36</v>
      </c>
      <c r="H7" s="20">
        <v>9.99</v>
      </c>
      <c r="J7" s="19">
        <v>5</v>
      </c>
      <c r="K7" s="19" t="s">
        <v>36</v>
      </c>
      <c r="L7" s="19">
        <v>15</v>
      </c>
      <c r="M7" s="19">
        <v>9.99</v>
      </c>
      <c r="N7" s="20" t="s">
        <v>48</v>
      </c>
    </row>
    <row r="8" spans="1:14" ht="14" customHeight="1" x14ac:dyDescent="0.35">
      <c r="A8" s="26"/>
      <c r="B8" s="26"/>
      <c r="C8" s="26"/>
      <c r="E8" s="26"/>
      <c r="F8" s="26"/>
      <c r="G8" s="26"/>
      <c r="H8" s="26"/>
      <c r="J8" s="26"/>
      <c r="K8" s="26"/>
      <c r="L8" s="26"/>
      <c r="M8" s="26"/>
      <c r="N8" s="26"/>
    </row>
    <row r="9" spans="1:14" x14ac:dyDescent="0.35">
      <c r="J9" s="34" t="s">
        <v>53</v>
      </c>
      <c r="K9" s="34"/>
      <c r="L9" s="34"/>
      <c r="M9" s="34"/>
      <c r="N9" s="34"/>
    </row>
    <row r="10" spans="1:14" x14ac:dyDescent="0.35">
      <c r="B10" s="40" t="s">
        <v>50</v>
      </c>
      <c r="C10" s="40"/>
      <c r="D10" s="40"/>
      <c r="E10" s="40"/>
      <c r="J10" s="35"/>
      <c r="K10" s="35"/>
      <c r="L10" s="35"/>
      <c r="M10" s="35"/>
      <c r="N10" s="35"/>
    </row>
    <row r="11" spans="1:14" ht="29" customHeight="1" x14ac:dyDescent="0.35">
      <c r="A11" s="30" t="s">
        <v>52</v>
      </c>
      <c r="B11" s="30"/>
      <c r="C11" s="30"/>
      <c r="D11" s="30"/>
      <c r="E11" s="30"/>
      <c r="F11" s="30"/>
      <c r="J11" s="23" t="s">
        <v>17</v>
      </c>
      <c r="K11" s="23" t="s">
        <v>31</v>
      </c>
      <c r="L11" s="23" t="s">
        <v>20</v>
      </c>
      <c r="M11" s="23" t="s">
        <v>46</v>
      </c>
      <c r="N11" s="23" t="s">
        <v>47</v>
      </c>
    </row>
    <row r="12" spans="1:14" ht="14" customHeight="1" x14ac:dyDescent="0.35">
      <c r="A12" s="30"/>
      <c r="B12" s="30"/>
      <c r="C12" s="30"/>
      <c r="D12" s="30"/>
      <c r="E12" s="30"/>
      <c r="F12" s="30"/>
      <c r="J12" s="24">
        <v>1</v>
      </c>
      <c r="K12" s="6" t="str">
        <f>IF(LEN(J12)=1,VLOOKUP(_xlfn.CONCAT("P10",J12),$F$3:$H$7,2),VLOOKUP(_xlfn.CONCAT("P1",J12),$F$3:$H$7,2,FALSE))</f>
        <v>Widget A</v>
      </c>
      <c r="L12" s="6">
        <f>VLOOKUP(J12,$A$3:$C$7,3,FALSE)</f>
        <v>10</v>
      </c>
      <c r="M12" s="6">
        <f>IF(LEN(J12)=1,VLOOKUP(_xlfn.CONCAT("P10",J12),$F$3:$H$7,3),VLOOKUP(_xlfn.CONCAT("P1",J12),$F$3:$H$7,3))</f>
        <v>10.99</v>
      </c>
      <c r="N12" s="6">
        <f>L12*M12</f>
        <v>109.9</v>
      </c>
    </row>
    <row r="13" spans="1:14" ht="14" customHeight="1" x14ac:dyDescent="0.35">
      <c r="A13" s="30"/>
      <c r="B13" s="30"/>
      <c r="C13" s="30"/>
      <c r="D13" s="30"/>
      <c r="E13" s="30"/>
      <c r="F13" s="30"/>
      <c r="G13" s="27"/>
      <c r="H13" s="27"/>
      <c r="J13" s="24">
        <v>2</v>
      </c>
      <c r="K13" s="6" t="str">
        <f t="shared" ref="K13:K16" si="0">IF(LEN(J13)=1,VLOOKUP(_xlfn.CONCAT("P10",J13),$F$3:$H$7,2),VLOOKUP(_xlfn.CONCAT("P1",J13),$F$3:$H$7,2,FALSE))</f>
        <v>Widget B</v>
      </c>
      <c r="L13" s="6">
        <f t="shared" ref="L13:L16" si="1">VLOOKUP(J13,$A$3:$C$7,3,FALSE)</f>
        <v>5</v>
      </c>
      <c r="M13" s="6">
        <f t="shared" ref="M13:M16" si="2">IF(LEN(J13)=1,VLOOKUP(_xlfn.CONCAT("P10",J13),$F$3:$H$7,3),VLOOKUP(_xlfn.CONCAT("P1",J13),$F$3:$H$7,3))</f>
        <v>12.5</v>
      </c>
      <c r="N13" s="6">
        <f t="shared" ref="N13:N16" si="3">L13*M13</f>
        <v>62.5</v>
      </c>
    </row>
    <row r="14" spans="1:14" ht="14" customHeight="1" x14ac:dyDescent="0.6">
      <c r="A14" s="30"/>
      <c r="B14" s="30"/>
      <c r="C14" s="30"/>
      <c r="D14" s="30"/>
      <c r="E14" s="30"/>
      <c r="F14" s="30"/>
      <c r="G14" s="27"/>
      <c r="H14" s="27"/>
      <c r="I14" s="21"/>
      <c r="J14" s="24">
        <v>3</v>
      </c>
      <c r="K14" s="6" t="str">
        <f t="shared" si="0"/>
        <v>Widget C</v>
      </c>
      <c r="L14" s="6">
        <f t="shared" si="1"/>
        <v>8</v>
      </c>
      <c r="M14" s="6">
        <f t="shared" si="2"/>
        <v>8.75</v>
      </c>
      <c r="N14" s="6">
        <f t="shared" si="3"/>
        <v>70</v>
      </c>
    </row>
    <row r="15" spans="1:14" ht="14" customHeight="1" x14ac:dyDescent="0.35">
      <c r="A15" s="30"/>
      <c r="B15" s="30"/>
      <c r="C15" s="30"/>
      <c r="D15" s="30"/>
      <c r="E15" s="30"/>
      <c r="F15" s="30"/>
      <c r="G15" s="27"/>
      <c r="H15" s="27"/>
      <c r="J15" s="24">
        <v>4</v>
      </c>
      <c r="K15" s="6" t="str">
        <f t="shared" si="0"/>
        <v>Widget D</v>
      </c>
      <c r="L15" s="6">
        <f t="shared" si="1"/>
        <v>12</v>
      </c>
      <c r="M15" s="6">
        <f t="shared" si="2"/>
        <v>15.25</v>
      </c>
      <c r="N15" s="6">
        <f t="shared" si="3"/>
        <v>183</v>
      </c>
    </row>
    <row r="16" spans="1:14" ht="14" customHeight="1" x14ac:dyDescent="0.35">
      <c r="A16" s="33"/>
      <c r="B16" s="33"/>
      <c r="C16" s="33"/>
      <c r="D16" s="33"/>
      <c r="E16" s="33"/>
      <c r="F16" s="33"/>
      <c r="G16" s="27"/>
      <c r="H16" s="27"/>
      <c r="J16" s="24">
        <v>5</v>
      </c>
      <c r="K16" s="6" t="str">
        <f t="shared" si="0"/>
        <v>Widget E</v>
      </c>
      <c r="L16" s="6">
        <f t="shared" si="1"/>
        <v>15</v>
      </c>
      <c r="M16" s="6">
        <f t="shared" si="2"/>
        <v>9.99</v>
      </c>
      <c r="N16" s="6">
        <f t="shared" si="3"/>
        <v>149.85</v>
      </c>
    </row>
    <row r="17" spans="1:8" x14ac:dyDescent="0.35">
      <c r="A17" s="33"/>
      <c r="B17" s="33"/>
      <c r="C17" s="33"/>
      <c r="D17" s="33"/>
      <c r="E17" s="33"/>
      <c r="F17" s="33"/>
      <c r="G17" s="27"/>
      <c r="H17" s="27"/>
    </row>
  </sheetData>
  <mergeCells count="6">
    <mergeCell ref="A11:F15"/>
    <mergeCell ref="B10:E10"/>
    <mergeCell ref="J9:N10"/>
    <mergeCell ref="J1:N1"/>
    <mergeCell ref="A1:C1"/>
    <mergeCell ref="F1:H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B9D5F-11F9-4A86-973B-C0496DD48ECF}">
  <dimension ref="A1:S18"/>
  <sheetViews>
    <sheetView showGridLines="0" zoomScale="90" zoomScaleNormal="90" workbookViewId="0">
      <selection activeCell="T2" sqref="T2"/>
    </sheetView>
  </sheetViews>
  <sheetFormatPr defaultRowHeight="14.5" x14ac:dyDescent="0.35"/>
  <sheetData>
    <row r="1" spans="1:19" ht="26.5" thickBot="1" x14ac:dyDescent="0.65">
      <c r="A1" s="13" t="s">
        <v>14</v>
      </c>
      <c r="B1" s="13"/>
      <c r="C1" s="13"/>
      <c r="D1" s="13"/>
      <c r="F1" s="13" t="s">
        <v>15</v>
      </c>
      <c r="G1" s="13"/>
      <c r="I1" s="13" t="s">
        <v>43</v>
      </c>
      <c r="J1" s="13"/>
      <c r="L1" s="13" t="s">
        <v>44</v>
      </c>
      <c r="M1" s="13"/>
      <c r="N1" s="13"/>
      <c r="O1" s="13"/>
    </row>
    <row r="2" spans="1:19" ht="27.5" thickBot="1" x14ac:dyDescent="0.4">
      <c r="A2" s="1" t="s">
        <v>17</v>
      </c>
      <c r="B2" s="1" t="s">
        <v>18</v>
      </c>
      <c r="C2" s="1" t="s">
        <v>19</v>
      </c>
      <c r="D2" s="2" t="s">
        <v>20</v>
      </c>
      <c r="F2" s="1" t="s">
        <v>18</v>
      </c>
      <c r="G2" s="2" t="s">
        <v>31</v>
      </c>
      <c r="I2" s="1" t="s">
        <v>19</v>
      </c>
      <c r="J2" s="2" t="s">
        <v>37</v>
      </c>
      <c r="L2" s="1" t="s">
        <v>17</v>
      </c>
      <c r="M2" s="1" t="s">
        <v>31</v>
      </c>
      <c r="N2" s="1" t="s">
        <v>37</v>
      </c>
      <c r="O2" s="2" t="s">
        <v>20</v>
      </c>
    </row>
    <row r="3" spans="1:19" ht="15" thickBot="1" x14ac:dyDescent="0.4">
      <c r="A3" s="4">
        <v>1</v>
      </c>
      <c r="B3" s="4" t="s">
        <v>21</v>
      </c>
      <c r="C3" s="4" t="s">
        <v>22</v>
      </c>
      <c r="D3" s="5">
        <v>10</v>
      </c>
      <c r="F3" s="4" t="s">
        <v>21</v>
      </c>
      <c r="G3" s="5" t="s">
        <v>32</v>
      </c>
      <c r="I3" s="4" t="s">
        <v>22</v>
      </c>
      <c r="J3" s="5" t="s">
        <v>38</v>
      </c>
      <c r="L3" s="4">
        <v>1</v>
      </c>
      <c r="M3" s="4" t="s">
        <v>32</v>
      </c>
      <c r="N3" s="4" t="s">
        <v>38</v>
      </c>
      <c r="O3" s="5">
        <v>10</v>
      </c>
    </row>
    <row r="4" spans="1:19" ht="15" thickBot="1" x14ac:dyDescent="0.4">
      <c r="A4" s="4">
        <v>2</v>
      </c>
      <c r="B4" s="4" t="s">
        <v>23</v>
      </c>
      <c r="C4" s="4" t="s">
        <v>24</v>
      </c>
      <c r="D4" s="5">
        <v>5</v>
      </c>
      <c r="F4" s="4" t="s">
        <v>23</v>
      </c>
      <c r="G4" s="5" t="s">
        <v>33</v>
      </c>
      <c r="I4" s="4" t="s">
        <v>24</v>
      </c>
      <c r="J4" s="5" t="s">
        <v>39</v>
      </c>
      <c r="L4" s="4">
        <v>2</v>
      </c>
      <c r="M4" s="4" t="s">
        <v>33</v>
      </c>
      <c r="N4" s="4" t="s">
        <v>39</v>
      </c>
      <c r="O4" s="5">
        <v>5</v>
      </c>
    </row>
    <row r="5" spans="1:19" ht="15" thickBot="1" x14ac:dyDescent="0.4">
      <c r="A5" s="4">
        <v>3</v>
      </c>
      <c r="B5" s="4" t="s">
        <v>25</v>
      </c>
      <c r="C5" s="4" t="s">
        <v>26</v>
      </c>
      <c r="D5" s="5">
        <v>8</v>
      </c>
      <c r="F5" s="4" t="s">
        <v>25</v>
      </c>
      <c r="G5" s="5" t="s">
        <v>34</v>
      </c>
      <c r="I5" s="4" t="s">
        <v>26</v>
      </c>
      <c r="J5" s="5" t="s">
        <v>40</v>
      </c>
      <c r="L5" s="4">
        <v>3</v>
      </c>
      <c r="M5" s="4" t="s">
        <v>34</v>
      </c>
      <c r="N5" s="4" t="s">
        <v>40</v>
      </c>
      <c r="O5" s="5">
        <v>8</v>
      </c>
    </row>
    <row r="6" spans="1:19" ht="15" thickBot="1" x14ac:dyDescent="0.4">
      <c r="A6" s="4">
        <v>4</v>
      </c>
      <c r="B6" s="4" t="s">
        <v>27</v>
      </c>
      <c r="C6" s="4" t="s">
        <v>28</v>
      </c>
      <c r="D6" s="5">
        <v>12</v>
      </c>
      <c r="F6" s="4" t="s">
        <v>27</v>
      </c>
      <c r="G6" s="5" t="s">
        <v>35</v>
      </c>
      <c r="I6" s="4" t="s">
        <v>28</v>
      </c>
      <c r="J6" s="5" t="s">
        <v>41</v>
      </c>
      <c r="L6" s="4">
        <v>4</v>
      </c>
      <c r="M6" s="4" t="s">
        <v>35</v>
      </c>
      <c r="N6" s="4" t="s">
        <v>41</v>
      </c>
      <c r="O6" s="5">
        <v>12</v>
      </c>
    </row>
    <row r="7" spans="1:19" ht="15" thickBot="1" x14ac:dyDescent="0.4">
      <c r="A7" s="4">
        <v>5</v>
      </c>
      <c r="B7" s="4" t="s">
        <v>29</v>
      </c>
      <c r="C7" s="4" t="s">
        <v>30</v>
      </c>
      <c r="D7" s="5">
        <v>15</v>
      </c>
      <c r="F7" s="4" t="s">
        <v>29</v>
      </c>
      <c r="G7" s="5" t="s">
        <v>36</v>
      </c>
      <c r="I7" s="4" t="s">
        <v>30</v>
      </c>
      <c r="J7" s="5" t="s">
        <v>42</v>
      </c>
      <c r="L7" s="4">
        <v>5</v>
      </c>
      <c r="M7" s="4" t="s">
        <v>36</v>
      </c>
      <c r="N7" s="4" t="s">
        <v>42</v>
      </c>
      <c r="O7" s="5">
        <v>15</v>
      </c>
    </row>
    <row r="9" spans="1:19" x14ac:dyDescent="0.35">
      <c r="N9" s="29" t="s">
        <v>50</v>
      </c>
      <c r="O9" s="29"/>
      <c r="P9" s="29"/>
      <c r="Q9" s="29"/>
    </row>
    <row r="10" spans="1:19" x14ac:dyDescent="0.35">
      <c r="F10" s="15" t="s">
        <v>54</v>
      </c>
      <c r="G10" s="15"/>
      <c r="H10" s="15"/>
      <c r="I10" s="15"/>
      <c r="L10" s="30" t="s">
        <v>49</v>
      </c>
      <c r="M10" s="30"/>
      <c r="N10" s="30"/>
      <c r="O10" s="30"/>
      <c r="P10" s="30"/>
      <c r="Q10" s="30"/>
      <c r="R10" s="30"/>
      <c r="S10" s="30"/>
    </row>
    <row r="11" spans="1:19" x14ac:dyDescent="0.35">
      <c r="F11" s="15"/>
      <c r="G11" s="15"/>
      <c r="H11" s="15"/>
      <c r="I11" s="15"/>
      <c r="L11" s="30"/>
      <c r="M11" s="30"/>
      <c r="N11" s="30"/>
      <c r="O11" s="30"/>
      <c r="P11" s="30"/>
      <c r="Q11" s="30"/>
      <c r="R11" s="30"/>
      <c r="S11" s="30"/>
    </row>
    <row r="12" spans="1:19" x14ac:dyDescent="0.35">
      <c r="F12" s="15"/>
      <c r="G12" s="15"/>
      <c r="H12" s="15"/>
      <c r="I12" s="15"/>
      <c r="L12" s="30"/>
      <c r="M12" s="30"/>
      <c r="N12" s="30"/>
      <c r="O12" s="30"/>
      <c r="P12" s="30"/>
      <c r="Q12" s="30"/>
      <c r="R12" s="30"/>
      <c r="S12" s="30"/>
    </row>
    <row r="13" spans="1:19" ht="27" x14ac:dyDescent="0.35">
      <c r="F13" s="14" t="s">
        <v>17</v>
      </c>
      <c r="G13" s="14" t="s">
        <v>31</v>
      </c>
      <c r="H13" s="14" t="s">
        <v>37</v>
      </c>
      <c r="I13" s="14" t="s">
        <v>20</v>
      </c>
      <c r="L13" s="30"/>
      <c r="M13" s="30"/>
      <c r="N13" s="30"/>
      <c r="O13" s="30"/>
      <c r="P13" s="30"/>
      <c r="Q13" s="30"/>
      <c r="R13" s="30"/>
      <c r="S13" s="30"/>
    </row>
    <row r="14" spans="1:19" x14ac:dyDescent="0.35">
      <c r="F14" s="6">
        <v>1</v>
      </c>
      <c r="G14" s="6" t="str">
        <f>IF(LEN(F14)=1,VLOOKUP(_xlfn.CONCAT("P10",F14),$F$3:$G$7,2),VLOOKUP(_xlfn.CONCAT("P1",F14),$F$3:$G$7,2))</f>
        <v>Widget A</v>
      </c>
      <c r="H14" s="6" t="str">
        <f>IF(LEN(F14)=1,VLOOKUP(_xlfn.CONCAT("R20",F14),$I$3:$J$7,2),VLOOKUP(_xlfn.CONCAT("R2",F14),$I$3:$J$7,2))</f>
        <v>North</v>
      </c>
      <c r="I14" s="6">
        <f>VLOOKUP($F$14,$A$3:D7,4,FALSE)</f>
        <v>10</v>
      </c>
      <c r="L14" s="30"/>
      <c r="M14" s="30"/>
      <c r="N14" s="30"/>
      <c r="O14" s="30"/>
      <c r="P14" s="30"/>
      <c r="Q14" s="30"/>
      <c r="R14" s="30"/>
      <c r="S14" s="30"/>
    </row>
    <row r="15" spans="1:19" x14ac:dyDescent="0.35">
      <c r="F15" s="6">
        <v>2</v>
      </c>
      <c r="G15" s="6" t="str">
        <f t="shared" ref="G15:G18" si="0">IF(LEN(F15)=1,VLOOKUP(_xlfn.CONCAT("P10",F15),$F$3:$G$7,2),VLOOKUP(_xlfn.CONCAT("P1",F15),$F$3:$G$7,2))</f>
        <v>Widget B</v>
      </c>
      <c r="H15" s="6" t="str">
        <f t="shared" ref="H15:H18" si="1">IF(LEN(F15)=1,VLOOKUP(_xlfn.CONCAT("R20",F15),$I$3:$J$7,2),VLOOKUP(_xlfn.CONCAT("R2",F15),$I$3:$J$7,2))</f>
        <v>South</v>
      </c>
      <c r="I15" s="6">
        <f>VLOOKUP($F$14,$A$3:D8,4,FALSE)</f>
        <v>10</v>
      </c>
    </row>
    <row r="16" spans="1:19" x14ac:dyDescent="0.35">
      <c r="F16" s="6">
        <v>3</v>
      </c>
      <c r="G16" s="6" t="str">
        <f t="shared" si="0"/>
        <v>Widget C</v>
      </c>
      <c r="H16" s="6" t="str">
        <f t="shared" si="1"/>
        <v>East</v>
      </c>
      <c r="I16" s="6">
        <f>VLOOKUP($F$14,$A$3:D9,4,FALSE)</f>
        <v>10</v>
      </c>
    </row>
    <row r="17" spans="6:9" x14ac:dyDescent="0.35">
      <c r="F17" s="6">
        <v>4</v>
      </c>
      <c r="G17" s="6" t="str">
        <f t="shared" si="0"/>
        <v>Widget D</v>
      </c>
      <c r="H17" s="6" t="str">
        <f t="shared" si="1"/>
        <v>West</v>
      </c>
      <c r="I17" s="6">
        <f>VLOOKUP($F$14,$A$3:D10,4,FALSE)</f>
        <v>10</v>
      </c>
    </row>
    <row r="18" spans="6:9" x14ac:dyDescent="0.35">
      <c r="F18" s="6">
        <v>5</v>
      </c>
      <c r="G18" s="6" t="str">
        <f t="shared" si="0"/>
        <v>Widget E</v>
      </c>
      <c r="H18" s="6" t="str">
        <f t="shared" si="1"/>
        <v>Central</v>
      </c>
      <c r="I18" s="6">
        <f>VLOOKUP($F$14,$A$3:D11,4,FALSE)</f>
        <v>10</v>
      </c>
    </row>
  </sheetData>
  <mergeCells count="7">
    <mergeCell ref="A1:D1"/>
    <mergeCell ref="F1:G1"/>
    <mergeCell ref="I1:J1"/>
    <mergeCell ref="L1:O1"/>
    <mergeCell ref="F10:I12"/>
    <mergeCell ref="L10:S14"/>
    <mergeCell ref="N9:Q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vlookup</vt:lpstr>
      <vt:lpstr>Challange 1</vt:lpstr>
      <vt:lpstr>Challange 2</vt:lpstr>
      <vt:lpstr>challange 3</vt:lpstr>
      <vt:lpstr>Challange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Ibad</dc:creator>
  <cp:lastModifiedBy>Ibad</cp:lastModifiedBy>
  <dcterms:created xsi:type="dcterms:W3CDTF">2015-06-05T18:17:20Z</dcterms:created>
  <dcterms:modified xsi:type="dcterms:W3CDTF">2023-05-09T18:06:35Z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2023-05-09T10:09:27Z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9915bd0f-7c16-45f4-833b-65773f44ab20</vt:lpwstr>
  </property>
  <property fmtid="{D5CDD505-2E9C-101B-9397-08002B2CF9AE}" pid="7" name="MSIP_Label_defa4170-0d19-0005-0004-bc88714345d2_ActionId">
    <vt:lpwstr>1189312a-05cf-4e1b-b481-8f6c50a8f7f0</vt:lpwstr>
  </property>
  <property fmtid="{D5CDD505-2E9C-101B-9397-08002B2CF9AE}" pid="8" name="MSIP_Label_defa4170-0d19-0005-0004-bc88714345d2_ContentBits">
    <vt:lpwstr>0</vt:lpwstr>
  </property>
</Properties>
</file>